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l_Ethics" sheetId="1" state="visible" r:id="rId3"/>
    <sheet name="Instructions" sheetId="2" state="visible" r:id="rId4"/>
    <sheet name="Org_Info" sheetId="3" state="visible" r:id="rId5"/>
    <sheet name="Assets" sheetId="4" state="visible" r:id="rId6"/>
    <sheet name="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<sst xmlns="http://schemas.openxmlformats.org/spreadsheetml/2006/main" count="229" uniqueCount="130">
  <si>
    <t xml:space="preserve">RADS — Legal &amp; Ethical Framework</t>
  </si>
  <si>
    <t xml:space="preserve">LEGAL NOTICE — READ BEFORE ACTING</t>
  </si>
  <si>
    <t xml:space="preserve">This tool provides decision SUPPORT only. It is not legal advice, and its output is not a decision to pay. A ransom payment must never be made on the basis of this workbook alone.</t>
  </si>
  <si>
    <t xml:space="preserve">1. Sanctions exposure. Paying a ransom can be unlawful. Under EU restrictive measures and U.S. OFAC regulations, transferring value to a sanctioned person, group, or region may carry civil or criminal liability — in some regimes on a strict-liability basis, regardless of intent or knowledge. The identity of a ransomware operator is usually unknown at decision time, so this risk cannot be ruled out.</t>
  </si>
  <si>
    <t xml:space="preserve">2. Reporting duties. In Germany, incidents may trigger notification to the BSI (BSIG / KRITIS obligations), to law enforcement (LKA/BKA), and — where personal data is affected — to the competent data-protection authority within 72 hours under GDPR Art. 33. Financial entities additionally fall under DORA (Reg. (EU) 2022/2554) major-incident reporting. Verify current obligations for your sector.</t>
  </si>
  <si>
    <t xml:space="preserve">3. No guarantee. Payment does not guarantee a working decryptor, full data recovery, or that exfiltrated data will not be leaked or resold. It may also mark the organisation as a payer and invite repeat targeting.</t>
  </si>
  <si>
    <t xml:space="preserve">4. Funding of criminal activity. A ransom payment directly finances criminal enterprises and the wider ransomware ecosystem, potentially enabling further attacks on this and other organisations. This is an ethical and, in some jurisdictions, a legal consideration that sits outside the economic calculation below.</t>
  </si>
  <si>
    <t xml:space="preserve">Before any payment: engage legal counsel, involve law enforcement, notify your cyber-insurer, and screen the counterparty against sanctions lists. Regulatory details may have changed since this template was written — confirm the current position.</t>
  </si>
  <si>
    <t xml:space="preserve">How to use this workbook</t>
  </si>
  <si>
    <t xml:space="preserve">1. Read the Legal_Ethics sheet first. It also reprints with every result.</t>
  </si>
  <si>
    <t xml:space="preserve">2. Fill the yellow cells on Org_Info (organisation and incident parameters).</t>
  </si>
  <si>
    <t xml:space="preserve">3. List every AFFECTED application on the Assets sheet, one per row. Fill the yellow columns only; the grey columns compute themselves.</t>
  </si>
  <si>
    <t xml:space="preserve">4. Set Criticality from the dropdown (Critical / High / Medium / Low) and Backup Coverage as a percentage (share of that asset's data restorable from backup).</t>
  </si>
  <si>
    <t xml:space="preserve">5. Open the Results sheet. It returns ONE organisation-level recommendation, driven by whether the Critical and High assets can be self-recovered. Low/Medium-criticality loss is treated as within tolerance.</t>
  </si>
  <si>
    <t xml:space="preserve">6. The recommendation is decision SUPPORT, never authorisation. Follow the legal steps.</t>
  </si>
  <si>
    <t xml:space="preserve">Legend:</t>
  </si>
  <si>
    <t xml:space="preserve">Yellow = you fill in.   Grey = computed, do not edit.</t>
  </si>
  <si>
    <t xml:space="preserve">Organisation &amp; Incident Parameters</t>
  </si>
  <si>
    <t xml:space="preserve">Fill the yellow cells.</t>
  </si>
  <si>
    <t xml:space="preserve">Organisation Name</t>
  </si>
  <si>
    <t xml:space="preserve">Redport.DE (Redport Logistics GmbH)</t>
  </si>
  <si>
    <t xml:space="preserve">Assessment Date</t>
  </si>
  <si>
    <t xml:space="preserve">2026-09-11</t>
  </si>
  <si>
    <t xml:space="preserve">Total Applications (org-wide)</t>
  </si>
  <si>
    <t xml:space="preserve">Current Ransom Demand (kEUR)</t>
  </si>
  <si>
    <t xml:space="preserve">Ransom Doubling Period (days)</t>
  </si>
  <si>
    <t xml:space="preserve">Payment Deadline (days)</t>
  </si>
  <si>
    <t xml:space="preserve">Recovery Threshold (backup cov.)</t>
  </si>
  <si>
    <t xml:space="preserve">Asset is 'self-recoverable' at or above this backup coverage</t>
  </si>
  <si>
    <t xml:space="preserve">P(decryptor works if paid)</t>
  </si>
  <si>
    <t xml:space="preserve">P(re-extortion after paying)</t>
  </si>
  <si>
    <t xml:space="preserve">Re-extortion Cost (kEUR)</t>
  </si>
  <si>
    <t xml:space="preserve">P(data leaked even if paid)</t>
  </si>
  <si>
    <t xml:space="preserve">P(data leaked if NOT paid)</t>
  </si>
  <si>
    <t xml:space="preserve">Aggregate Leak Damage (kEUR)</t>
  </si>
  <si>
    <t xml:space="preserve">Prior-incident handling</t>
  </si>
  <si>
    <t xml:space="preserve">Insufficient</t>
  </si>
  <si>
    <t xml:space="preserve">None / Insufficient / Sufficient (reference effect)</t>
  </si>
  <si>
    <t xml:space="preserve">Criticality weight — Critical</t>
  </si>
  <si>
    <t xml:space="preserve">How heavily each tier's loss counts in the decision</t>
  </si>
  <si>
    <t xml:space="preserve">Criticality weight — High</t>
  </si>
  <si>
    <t xml:space="preserve">Criticality weight — Medium</t>
  </si>
  <si>
    <t xml:space="preserve">Criticality weight — Low</t>
  </si>
  <si>
    <t xml:space="preserve">Affected Applications / Assets</t>
  </si>
  <si>
    <t xml:space="preserve">Fill yellow columns (A–G). Grey columns (H–L) compute automatically.</t>
  </si>
  <si>
    <t xml:space="preserve">Application / Asset</t>
  </si>
  <si>
    <t xml:space="preserve">Criticality</t>
  </si>
  <si>
    <t xml:space="preserve">Affected?</t>
  </si>
  <si>
    <t xml:space="preserve">Backup Coverage</t>
  </si>
  <si>
    <t xml:space="preserve">Data Value (kEUR)</t>
  </si>
  <si>
    <t xml:space="preserve">Downtime Cost (kEUR/day)</t>
  </si>
  <si>
    <t xml:space="preserve">Self-Recovery Time (days)</t>
  </si>
  <si>
    <t xml:space="preserve">Crit. Weight</t>
  </si>
  <si>
    <t xml:space="preserve">Self-Recoverable?</t>
  </si>
  <si>
    <t xml:space="preserve">Exp. Recovery Loss (kEUR)</t>
  </si>
  <si>
    <t xml:space="preserve">Full Loss if Unrecovered (kEUR)</t>
  </si>
  <si>
    <t xml:space="preserve">Weighted No-Pay Loss (kEUR)</t>
  </si>
  <si>
    <t xml:space="preserve">Port Operations Control System (SCADA)</t>
  </si>
  <si>
    <t xml:space="preserve">Critical</t>
  </si>
  <si>
    <t xml:space="preserve">Yes</t>
  </si>
  <si>
    <t xml:space="preserve">Container Terminal Management System</t>
  </si>
  <si>
    <t xml:space="preserve">Customs Clearance Gateway (ATLAS)</t>
  </si>
  <si>
    <t xml:space="preserve">SAP S/4HANA (ERP core)</t>
  </si>
  <si>
    <t xml:space="preserve">Vessel Berth Scheduling</t>
  </si>
  <si>
    <t xml:space="preserve">Gate Automation &amp; OCR</t>
  </si>
  <si>
    <t xml:space="preserve">Yard Management System</t>
  </si>
  <si>
    <t xml:space="preserve">High</t>
  </si>
  <si>
    <t xml:space="preserve">Reefer (Cold-chain) Monitoring</t>
  </si>
  <si>
    <t xml:space="preserve">EDI Integration Hub</t>
  </si>
  <si>
    <t xml:space="preserve">Billing &amp; Invoicing</t>
  </si>
  <si>
    <t xml:space="preserve">Warehouse Management</t>
  </si>
  <si>
    <t xml:space="preserve">Fleet Telematics</t>
  </si>
  <si>
    <t xml:space="preserve">Identity / Active Directory</t>
  </si>
  <si>
    <t xml:space="preserve">Email / Exchange</t>
  </si>
  <si>
    <t xml:space="preserve">Enterprise Data Warehouse</t>
  </si>
  <si>
    <t xml:space="preserve">Customer Portal</t>
  </si>
  <si>
    <t xml:space="preserve">HR Management (Workday)</t>
  </si>
  <si>
    <t xml:space="preserve">Medium</t>
  </si>
  <si>
    <t xml:space="preserve">Procurement Portal</t>
  </si>
  <si>
    <t xml:space="preserve">Maintenance (CMMS)</t>
  </si>
  <si>
    <t xml:space="preserve">Document Management</t>
  </si>
  <si>
    <t xml:space="preserve">Training LMS</t>
  </si>
  <si>
    <t xml:space="preserve">Facilities / BMS</t>
  </si>
  <si>
    <t xml:space="preserve">Intranet / Wiki</t>
  </si>
  <si>
    <t xml:space="preserve">Payroll</t>
  </si>
  <si>
    <t xml:space="preserve">Expense Management</t>
  </si>
  <si>
    <t xml:space="preserve">Contract Repository</t>
  </si>
  <si>
    <t xml:space="preserve">BI Dashboards</t>
  </si>
  <si>
    <t xml:space="preserve">Vendor Risk Portal</t>
  </si>
  <si>
    <t xml:space="preserve">Marketing CMS</t>
  </si>
  <si>
    <t xml:space="preserve">Low</t>
  </si>
  <si>
    <t xml:space="preserve">Events App</t>
  </si>
  <si>
    <t xml:space="preserve">Cafeteria Ordering</t>
  </si>
  <si>
    <t xml:space="preserve">Visitor Sign-in</t>
  </si>
  <si>
    <t xml:space="preserve">Fleet Booking</t>
  </si>
  <si>
    <t xml:space="preserve">Meeting-room Booking</t>
  </si>
  <si>
    <t xml:space="preserve">Parking Management</t>
  </si>
  <si>
    <t xml:space="preserve">Survey Tool</t>
  </si>
  <si>
    <t xml:space="preserve">Digital Signage</t>
  </si>
  <si>
    <t xml:space="preserve">Photo Archive</t>
  </si>
  <si>
    <t xml:space="preserve">Newsletter Tool</t>
  </si>
  <si>
    <t xml:space="preserve">Idea Portal</t>
  </si>
  <si>
    <t xml:space="preserve">Sustainability Tracker</t>
  </si>
  <si>
    <t xml:space="preserve">Asset Label Printing</t>
  </si>
  <si>
    <t xml:space="preserve">Shift Swap App</t>
  </si>
  <si>
    <t xml:space="preserve">Lost &amp; Found</t>
  </si>
  <si>
    <t xml:space="preserve">Bike-share</t>
  </si>
  <si>
    <t xml:space="preserve">Wellness App</t>
  </si>
  <si>
    <t xml:space="preserve">Feedback Kiosk</t>
  </si>
  <si>
    <t xml:space="preserve">Library System</t>
  </si>
  <si>
    <t xml:space="preserve">Charity Portal</t>
  </si>
  <si>
    <t xml:space="preserve">Press Clippings</t>
  </si>
  <si>
    <t xml:space="preserve">Room Sensors</t>
  </si>
  <si>
    <t xml:space="preserve">Guest Wi-Fi Portal</t>
  </si>
  <si>
    <t xml:space="preserve">RADS — Organisation-Level Recommendation</t>
  </si>
  <si>
    <t xml:space="preserve">DECISION SUPPORT ONLY — NOT LEGAL ADVICE AND NOT AUTHORISATION TO PAY. A payment can breach EU/OFAC sanctions and funds criminal activity. See the Legal_Ethics sheet and involve counsel + law enforcement before acting.</t>
  </si>
  <si>
    <t xml:space="preserve">Portfolio summary</t>
  </si>
  <si>
    <t xml:space="preserve">Affected — Critical</t>
  </si>
  <si>
    <t xml:space="preserve">Affected — High</t>
  </si>
  <si>
    <t xml:space="preserve">Affected — Medium</t>
  </si>
  <si>
    <t xml:space="preserve">Affected — Low</t>
  </si>
  <si>
    <t xml:space="preserve">Criticality-weighted stranded exposure (kEUR)</t>
  </si>
  <si>
    <t xml:space="preserve">unrecoverable loss, each asset scaled by its criticality weight (all tiers count)</t>
  </si>
  <si>
    <t xml:space="preserve">Economic comparison — criticality-weighted (expected, kEUR)</t>
  </si>
  <si>
    <t xml:space="preserve">Weighted cost if NOT paying</t>
  </si>
  <si>
    <t xml:space="preserve">Weighted cost if paying</t>
  </si>
  <si>
    <t xml:space="preserve">Weighted saving from paying</t>
  </si>
  <si>
    <t xml:space="preserve">positive = paying is cheaper once losses are criticality-weighted (before legal/ethical factors)</t>
  </si>
  <si>
    <t xml:space="preserve">RECOMMENDATION</t>
  </si>
  <si>
    <t xml:space="preserve">Reminder: a 'CONSIDER PAYMENT' result is an economic signal only. It does not resolve sanctions, reporting, or the ethical cost of funding crime — resolve those before any payment.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</si>
</sst>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DE9E9"/>
      </patternFill>
    </fill>
    <fill>
      <patternFill patternType="solid">
        <fgColor rgb="FF264653"/>
        <bgColor rgb="FF003366"/>
      </patternFill>
    </fill>
    <fill>
      <patternFill patternType="solid">
        <fgColor rgb="FFFDE9E9"/>
        <bgColor rgb="FFFFF2CC"/>
      </patternFill>
    </fill>
    <fill>
      <patternFill patternType="solid">
        <fgColor rgb="FFD9EAD3"/>
        <bgColor rgb="FFF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5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57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57.7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57.7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57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57.75" hidden="false" customHeight="true" outlineLevel="0" collapsed="false">
      <c r="A9" s="3" t="s">
        <v>7</v>
      </c>
      <c r="B9" s="3"/>
      <c r="C9" s="3"/>
      <c r="D9" s="3"/>
      <c r="E9" s="3"/>
      <c r="F9" s="3"/>
      <c r="G9" s="3"/>
      <c r="H9" s="3"/>
    </row>
  </sheetData>
  <mergeCells count="7">
    <mergeCell ref="A3:H3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8</v>
      </c>
    </row>
    <row r="3" customFormat="false" ht="43.5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43.5" hidden="false" customHeight="true" outlineLevel="0" collapsed="false">
      <c r="A4" s="3" t="s">
        <v>10</v>
      </c>
      <c r="B4" s="3"/>
      <c r="C4" s="3"/>
      <c r="D4" s="3"/>
      <c r="E4" s="3"/>
      <c r="F4" s="3"/>
      <c r="G4" s="3"/>
      <c r="H4" s="3"/>
    </row>
    <row r="5" customFormat="false" ht="43.5" hidden="false" customHeight="true" outlineLevel="0" collapsed="false">
      <c r="A5" s="3" t="s">
        <v>11</v>
      </c>
      <c r="B5" s="3"/>
      <c r="C5" s="3"/>
      <c r="D5" s="3"/>
      <c r="E5" s="3"/>
      <c r="F5" s="3"/>
      <c r="G5" s="3"/>
      <c r="H5" s="3"/>
    </row>
    <row r="6" customFormat="false" ht="43.5" hidden="false" customHeight="true" outlineLevel="0" collapsed="false">
      <c r="A6" s="3" t="s">
        <v>12</v>
      </c>
      <c r="B6" s="3"/>
      <c r="C6" s="3"/>
      <c r="D6" s="3"/>
      <c r="E6" s="3"/>
      <c r="F6" s="3"/>
      <c r="G6" s="3"/>
      <c r="H6" s="3"/>
    </row>
    <row r="7" customFormat="false" ht="43.5" hidden="false" customHeight="true" outlineLevel="0" collapsed="false">
      <c r="A7" s="3" t="s">
        <v>13</v>
      </c>
      <c r="B7" s="3"/>
      <c r="C7" s="3"/>
      <c r="D7" s="3"/>
      <c r="E7" s="3"/>
      <c r="F7" s="3"/>
      <c r="G7" s="3"/>
      <c r="H7" s="3"/>
    </row>
    <row r="8" customFormat="false" ht="43.5" hidden="false" customHeight="true" outlineLevel="0" collapsed="false">
      <c r="A8" s="3" t="s">
        <v>14</v>
      </c>
      <c r="B8" s="3"/>
      <c r="C8" s="3"/>
      <c r="D8" s="3"/>
      <c r="E8" s="3"/>
      <c r="F8" s="3"/>
      <c r="G8" s="3"/>
      <c r="H8" s="3"/>
    </row>
    <row r="10" customFormat="false" ht="15" hidden="false" customHeight="false" outlineLevel="0" collapsed="false">
      <c r="A10" s="4" t="s">
        <v>15</v>
      </c>
    </row>
    <row r="11" customFormat="false" ht="15" hidden="false" customHeight="false" outlineLevel="0" collapsed="false">
      <c r="A11" s="5" t="s">
        <v>16</v>
      </c>
    </row>
  </sheetData>
  <mergeCells count="6">
    <mergeCell ref="A3:H3"/>
    <mergeCell ref="A4:H4"/>
    <mergeCell ref="A5:H5"/>
    <mergeCell ref="A6:H6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6" t="s">
        <v>18</v>
      </c>
    </row>
    <row r="4" customFormat="false" ht="15" hidden="false" customHeight="false" outlineLevel="0" collapsed="false">
      <c r="A4" s="4" t="s">
        <v>19</v>
      </c>
      <c r="B4" s="7" t="s">
        <v>20</v>
      </c>
    </row>
    <row r="5" customFormat="false" ht="15" hidden="false" customHeight="false" outlineLevel="0" collapsed="false">
      <c r="A5" s="4" t="s">
        <v>21</v>
      </c>
      <c r="B5" s="7" t="s">
        <v>22</v>
      </c>
    </row>
    <row r="6" customFormat="false" ht="15" hidden="false" customHeight="false" outlineLevel="0" collapsed="false">
      <c r="A6" s="4" t="s">
        <v>23</v>
      </c>
      <c r="B6" s="8" t="n">
        <v>240</v>
      </c>
    </row>
    <row r="7" customFormat="false" ht="15" hidden="false" customHeight="false" outlineLevel="0" collapsed="false">
      <c r="A7" s="4" t="s">
        <v>24</v>
      </c>
      <c r="B7" s="8" t="n">
        <v>7500</v>
      </c>
    </row>
    <row r="8" customFormat="false" ht="15" hidden="false" customHeight="false" outlineLevel="0" collapsed="false">
      <c r="A8" s="4" t="s">
        <v>25</v>
      </c>
      <c r="B8" s="8" t="n">
        <v>7</v>
      </c>
    </row>
    <row r="9" customFormat="false" ht="15" hidden="false" customHeight="false" outlineLevel="0" collapsed="false">
      <c r="A9" s="4" t="s">
        <v>26</v>
      </c>
      <c r="B9" s="8" t="n">
        <v>28</v>
      </c>
    </row>
    <row r="10" customFormat="false" ht="15" hidden="false" customHeight="false" outlineLevel="0" collapsed="false">
      <c r="A10" s="4" t="s">
        <v>27</v>
      </c>
      <c r="B10" s="9" t="n">
        <v>0.5</v>
      </c>
      <c r="C10" s="10" t="s">
        <v>28</v>
      </c>
    </row>
    <row r="11" customFormat="false" ht="15" hidden="false" customHeight="false" outlineLevel="0" collapsed="false">
      <c r="A11" s="4" t="s">
        <v>29</v>
      </c>
      <c r="B11" s="9" t="n">
        <v>0.65</v>
      </c>
    </row>
    <row r="12" customFormat="false" ht="15" hidden="false" customHeight="false" outlineLevel="0" collapsed="false">
      <c r="A12" s="4" t="s">
        <v>30</v>
      </c>
      <c r="B12" s="9" t="n">
        <v>0.25</v>
      </c>
    </row>
    <row r="13" customFormat="false" ht="15" hidden="false" customHeight="false" outlineLevel="0" collapsed="false">
      <c r="A13" s="4" t="s">
        <v>31</v>
      </c>
      <c r="B13" s="8" t="n">
        <v>3750</v>
      </c>
    </row>
    <row r="14" customFormat="false" ht="15" hidden="false" customHeight="false" outlineLevel="0" collapsed="false">
      <c r="A14" s="4" t="s">
        <v>32</v>
      </c>
      <c r="B14" s="9" t="n">
        <v>0.35</v>
      </c>
    </row>
    <row r="15" customFormat="false" ht="15" hidden="false" customHeight="false" outlineLevel="0" collapsed="false">
      <c r="A15" s="4" t="s">
        <v>33</v>
      </c>
      <c r="B15" s="9" t="n">
        <v>0.7</v>
      </c>
    </row>
    <row r="16" customFormat="false" ht="15" hidden="false" customHeight="false" outlineLevel="0" collapsed="false">
      <c r="A16" s="4" t="s">
        <v>34</v>
      </c>
      <c r="B16" s="8" t="n">
        <v>6000</v>
      </c>
    </row>
    <row r="17" customFormat="false" ht="15" hidden="false" customHeight="false" outlineLevel="0" collapsed="false">
      <c r="A17" s="4" t="s">
        <v>35</v>
      </c>
      <c r="B17" s="7" t="s">
        <v>36</v>
      </c>
      <c r="C17" s="10" t="s">
        <v>37</v>
      </c>
    </row>
    <row r="18" customFormat="false" ht="15" hidden="false" customHeight="false" outlineLevel="0" collapsed="false">
      <c r="A18" s="4" t="s">
        <v>38</v>
      </c>
      <c r="B18" s="11" t="n">
        <v>1</v>
      </c>
      <c r="C18" s="10" t="s">
        <v>39</v>
      </c>
    </row>
    <row r="19" customFormat="false" ht="15" hidden="false" customHeight="false" outlineLevel="0" collapsed="false">
      <c r="A19" s="4" t="s">
        <v>40</v>
      </c>
      <c r="B19" s="11" t="n">
        <v>0.75</v>
      </c>
    </row>
    <row r="20" customFormat="false" ht="15" hidden="false" customHeight="false" outlineLevel="0" collapsed="false">
      <c r="A20" s="4" t="s">
        <v>41</v>
      </c>
      <c r="B20" s="11" t="n">
        <v>0.5</v>
      </c>
    </row>
    <row r="21" customFormat="false" ht="15" hidden="false" customHeight="false" outlineLevel="0" collapsed="false">
      <c r="A21" s="4" t="s">
        <v>42</v>
      </c>
      <c r="B21" s="11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2" min="11" style="0" width="2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6" t="s">
        <v>44</v>
      </c>
    </row>
    <row r="4" customFormat="false" ht="39.75" hidden="false" customHeight="true" outlineLevel="0" collapsed="false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  <c r="K4" s="12" t="s">
        <v>55</v>
      </c>
      <c r="L4" s="12" t="s">
        <v>56</v>
      </c>
    </row>
    <row r="5" customFormat="false" ht="15" hidden="false" customHeight="false" outlineLevel="0" collapsed="false">
      <c r="A5" s="7" t="s">
        <v>57</v>
      </c>
      <c r="B5" s="7" t="s">
        <v>58</v>
      </c>
      <c r="C5" s="7" t="s">
        <v>59</v>
      </c>
      <c r="D5" s="9" t="n">
        <v>0.9</v>
      </c>
      <c r="E5" s="8" t="n">
        <v>3200</v>
      </c>
      <c r="F5" s="8" t="n">
        <v>220</v>
      </c>
      <c r="G5" s="7" t="n">
        <v>3</v>
      </c>
      <c r="H5" s="13" t="n">
        <f aca="false">IF($B5="Critical",Org_Info!$B$18,IF($B5="High",Org_Info!$B$19,IF($B5="Medium",Org_Info!$B$20,IF($B5="Low",Org_Info!$B$21,0))))</f>
        <v>1</v>
      </c>
      <c r="I5" s="14" t="str">
        <f aca="false">IF(AND($C5="Yes",$D5&gt;=Org_Info!$B$10),"Yes","No")</f>
        <v>Yes</v>
      </c>
      <c r="J5" s="15" t="n">
        <f aca="false">IF($C5="Yes",$F5*$G5+(1-$D5)*$E5,0)</f>
        <v>980</v>
      </c>
      <c r="K5" s="15" t="n">
        <f aca="false">IF($C5="Yes",$E5+$F5*$G5,0)</f>
        <v>3860</v>
      </c>
      <c r="L5" s="15" t="n">
        <f aca="false">IF($C5="Yes",$H5*IF($I5="Yes",$J5,$K5),0)</f>
        <v>980</v>
      </c>
    </row>
    <row r="6" customFormat="false" ht="15" hidden="false" customHeight="false" outlineLevel="0" collapsed="false">
      <c r="A6" s="7" t="s">
        <v>60</v>
      </c>
      <c r="B6" s="7" t="s">
        <v>58</v>
      </c>
      <c r="C6" s="7" t="s">
        <v>59</v>
      </c>
      <c r="D6" s="9" t="n">
        <v>0.85</v>
      </c>
      <c r="E6" s="8" t="n">
        <v>2800</v>
      </c>
      <c r="F6" s="8" t="n">
        <v>180</v>
      </c>
      <c r="G6" s="7" t="n">
        <v>4</v>
      </c>
      <c r="H6" s="13" t="n">
        <f aca="false">IF($B6="Critical",Org_Info!$B$18,IF($B6="High",Org_Info!$B$19,IF($B6="Medium",Org_Info!$B$20,IF($B6="Low",Org_Info!$B$21,0))))</f>
        <v>1</v>
      </c>
      <c r="I6" s="14" t="str">
        <f aca="false">IF(AND($C6="Yes",$D6&gt;=Org_Info!$B$10),"Yes","No")</f>
        <v>Yes</v>
      </c>
      <c r="J6" s="15" t="n">
        <f aca="false">IF($C6="Yes",$F6*$G6+(1-$D6)*$E6,0)</f>
        <v>1140</v>
      </c>
      <c r="K6" s="15" t="n">
        <f aca="false">IF($C6="Yes",$E6+$F6*$G6,0)</f>
        <v>3520</v>
      </c>
      <c r="L6" s="15" t="n">
        <f aca="false">IF($C6="Yes",$H6*IF($I6="Yes",$J6,$K6),0)</f>
        <v>1140</v>
      </c>
    </row>
    <row r="7" customFormat="false" ht="15" hidden="false" customHeight="false" outlineLevel="0" collapsed="false">
      <c r="A7" s="7" t="s">
        <v>61</v>
      </c>
      <c r="B7" s="7" t="s">
        <v>58</v>
      </c>
      <c r="C7" s="7" t="s">
        <v>59</v>
      </c>
      <c r="D7" s="9" t="n">
        <v>0.2</v>
      </c>
      <c r="E7" s="8" t="n">
        <v>2600</v>
      </c>
      <c r="F7" s="8" t="n">
        <v>160</v>
      </c>
      <c r="G7" s="7" t="n">
        <v>12</v>
      </c>
      <c r="H7" s="13" t="n">
        <f aca="false">IF($B7="Critical",Org_Info!$B$18,IF($B7="High",Org_Info!$B$19,IF($B7="Medium",Org_Info!$B$20,IF($B7="Low",Org_Info!$B$21,0))))</f>
        <v>1</v>
      </c>
      <c r="I7" s="14" t="str">
        <f aca="false">IF(AND($C7="Yes",$D7&gt;=Org_Info!$B$10),"Yes","No")</f>
        <v>No</v>
      </c>
      <c r="J7" s="15" t="n">
        <f aca="false">IF($C7="Yes",$F7*$G7+(1-$D7)*$E7,0)</f>
        <v>4000</v>
      </c>
      <c r="K7" s="15" t="n">
        <f aca="false">IF($C7="Yes",$E7+$F7*$G7,0)</f>
        <v>4520</v>
      </c>
      <c r="L7" s="15" t="n">
        <f aca="false">IF($C7="Yes",$H7*IF($I7="Yes",$J7,$K7),0)</f>
        <v>4520</v>
      </c>
    </row>
    <row r="8" customFormat="false" ht="15" hidden="false" customHeight="false" outlineLevel="0" collapsed="false">
      <c r="A8" s="7" t="s">
        <v>62</v>
      </c>
      <c r="B8" s="7" t="s">
        <v>58</v>
      </c>
      <c r="C8" s="7" t="s">
        <v>59</v>
      </c>
      <c r="D8" s="9" t="n">
        <v>0.88</v>
      </c>
      <c r="E8" s="8" t="n">
        <v>4000</v>
      </c>
      <c r="F8" s="8" t="n">
        <v>200</v>
      </c>
      <c r="G8" s="7" t="n">
        <v>4</v>
      </c>
      <c r="H8" s="13" t="n">
        <f aca="false">IF($B8="Critical",Org_Info!$B$18,IF($B8="High",Org_Info!$B$19,IF($B8="Medium",Org_Info!$B$20,IF($B8="Low",Org_Info!$B$21,0))))</f>
        <v>1</v>
      </c>
      <c r="I8" s="14" t="str">
        <f aca="false">IF(AND($C8="Yes",$D8&gt;=Org_Info!$B$10),"Yes","No")</f>
        <v>Yes</v>
      </c>
      <c r="J8" s="15" t="n">
        <f aca="false">IF($C8="Yes",$F8*$G8+(1-$D8)*$E8,0)</f>
        <v>1280</v>
      </c>
      <c r="K8" s="15" t="n">
        <f aca="false">IF($C8="Yes",$E8+$F8*$G8,0)</f>
        <v>4800</v>
      </c>
      <c r="L8" s="15" t="n">
        <f aca="false">IF($C8="Yes",$H8*IF($I8="Yes",$J8,$K8),0)</f>
        <v>1280</v>
      </c>
    </row>
    <row r="9" customFormat="false" ht="15" hidden="false" customHeight="false" outlineLevel="0" collapsed="false">
      <c r="A9" s="7" t="s">
        <v>63</v>
      </c>
      <c r="B9" s="7" t="s">
        <v>58</v>
      </c>
      <c r="C9" s="7" t="s">
        <v>59</v>
      </c>
      <c r="D9" s="9" t="n">
        <v>0.75</v>
      </c>
      <c r="E9" s="8" t="n">
        <v>1500</v>
      </c>
      <c r="F9" s="8" t="n">
        <v>140</v>
      </c>
      <c r="G9" s="7" t="n">
        <v>5</v>
      </c>
      <c r="H9" s="13" t="n">
        <f aca="false">IF($B9="Critical",Org_Info!$B$18,IF($B9="High",Org_Info!$B$19,IF($B9="Medium",Org_Info!$B$20,IF($B9="Low",Org_Info!$B$21,0))))</f>
        <v>1</v>
      </c>
      <c r="I9" s="14" t="str">
        <f aca="false">IF(AND($C9="Yes",$D9&gt;=Org_Info!$B$10),"Yes","No")</f>
        <v>Yes</v>
      </c>
      <c r="J9" s="15" t="n">
        <f aca="false">IF($C9="Yes",$F9*$G9+(1-$D9)*$E9,0)</f>
        <v>1075</v>
      </c>
      <c r="K9" s="15" t="n">
        <f aca="false">IF($C9="Yes",$E9+$F9*$G9,0)</f>
        <v>2200</v>
      </c>
      <c r="L9" s="15" t="n">
        <f aca="false">IF($C9="Yes",$H9*IF($I9="Yes",$J9,$K9),0)</f>
        <v>1075</v>
      </c>
    </row>
    <row r="10" customFormat="false" ht="15" hidden="false" customHeight="false" outlineLevel="0" collapsed="false">
      <c r="A10" s="7" t="s">
        <v>64</v>
      </c>
      <c r="B10" s="7" t="s">
        <v>58</v>
      </c>
      <c r="C10" s="7" t="s">
        <v>59</v>
      </c>
      <c r="D10" s="9" t="n">
        <v>0.8</v>
      </c>
      <c r="E10" s="8" t="n">
        <v>900</v>
      </c>
      <c r="F10" s="8" t="n">
        <v>90</v>
      </c>
      <c r="G10" s="7" t="n">
        <v>4</v>
      </c>
      <c r="H10" s="13" t="n">
        <f aca="false">IF($B10="Critical",Org_Info!$B$18,IF($B10="High",Org_Info!$B$19,IF($B10="Medium",Org_Info!$B$20,IF($B10="Low",Org_Info!$B$21,0))))</f>
        <v>1</v>
      </c>
      <c r="I10" s="14" t="str">
        <f aca="false">IF(AND($C10="Yes",$D10&gt;=Org_Info!$B$10),"Yes","No")</f>
        <v>Yes</v>
      </c>
      <c r="J10" s="15" t="n">
        <f aca="false">IF($C10="Yes",$F10*$G10+(1-$D10)*$E10,0)</f>
        <v>540</v>
      </c>
      <c r="K10" s="15" t="n">
        <f aca="false">IF($C10="Yes",$E10+$F10*$G10,0)</f>
        <v>1260</v>
      </c>
      <c r="L10" s="15" t="n">
        <f aca="false">IF($C10="Yes",$H10*IF($I10="Yes",$J10,$K10),0)</f>
        <v>540</v>
      </c>
    </row>
    <row r="11" customFormat="false" ht="15" hidden="false" customHeight="false" outlineLevel="0" collapsed="false">
      <c r="A11" s="7" t="s">
        <v>65</v>
      </c>
      <c r="B11" s="7" t="s">
        <v>66</v>
      </c>
      <c r="C11" s="7" t="s">
        <v>59</v>
      </c>
      <c r="D11" s="9" t="n">
        <v>0.8</v>
      </c>
      <c r="E11" s="8" t="n">
        <v>800</v>
      </c>
      <c r="F11" s="8" t="n">
        <v>70</v>
      </c>
      <c r="G11" s="7" t="n">
        <v>4</v>
      </c>
      <c r="H11" s="13" t="n">
        <f aca="false">IF($B11="Critical",Org_Info!$B$18,IF($B11="High",Org_Info!$B$19,IF($B11="Medium",Org_Info!$B$20,IF($B11="Low",Org_Info!$B$21,0))))</f>
        <v>0.75</v>
      </c>
      <c r="I11" s="14" t="str">
        <f aca="false">IF(AND($C11="Yes",$D11&gt;=Org_Info!$B$10),"Yes","No")</f>
        <v>Yes</v>
      </c>
      <c r="J11" s="15" t="n">
        <f aca="false">IF($C11="Yes",$F11*$G11+(1-$D11)*$E11,0)</f>
        <v>440</v>
      </c>
      <c r="K11" s="15" t="n">
        <f aca="false">IF($C11="Yes",$E11+$F11*$G11,0)</f>
        <v>1080</v>
      </c>
      <c r="L11" s="15" t="n">
        <f aca="false">IF($C11="Yes",$H11*IF($I11="Yes",$J11,$K11),0)</f>
        <v>330</v>
      </c>
    </row>
    <row r="12" customFormat="false" ht="15" hidden="false" customHeight="false" outlineLevel="0" collapsed="false">
      <c r="A12" s="7" t="s">
        <v>67</v>
      </c>
      <c r="B12" s="7" t="s">
        <v>66</v>
      </c>
      <c r="C12" s="7" t="s">
        <v>59</v>
      </c>
      <c r="D12" s="9" t="n">
        <v>0.78</v>
      </c>
      <c r="E12" s="8" t="n">
        <v>700</v>
      </c>
      <c r="F12" s="8" t="n">
        <v>90</v>
      </c>
      <c r="G12" s="7" t="n">
        <v>3</v>
      </c>
      <c r="H12" s="13" t="n">
        <f aca="false">IF($B12="Critical",Org_Info!$B$18,IF($B12="High",Org_Info!$B$19,IF($B12="Medium",Org_Info!$B$20,IF($B12="Low",Org_Info!$B$21,0))))</f>
        <v>0.75</v>
      </c>
      <c r="I12" s="14" t="str">
        <f aca="false">IF(AND($C12="Yes",$D12&gt;=Org_Info!$B$10),"Yes","No")</f>
        <v>Yes</v>
      </c>
      <c r="J12" s="15" t="n">
        <f aca="false">IF($C12="Yes",$F12*$G12+(1-$D12)*$E12,0)</f>
        <v>424</v>
      </c>
      <c r="K12" s="15" t="n">
        <f aca="false">IF($C12="Yes",$E12+$F12*$G12,0)</f>
        <v>970</v>
      </c>
      <c r="L12" s="15" t="n">
        <f aca="false">IF($C12="Yes",$H12*IF($I12="Yes",$J12,$K12),0)</f>
        <v>318</v>
      </c>
    </row>
    <row r="13" customFormat="false" ht="15" hidden="false" customHeight="false" outlineLevel="0" collapsed="false">
      <c r="A13" s="7" t="s">
        <v>68</v>
      </c>
      <c r="B13" s="7" t="s">
        <v>66</v>
      </c>
      <c r="C13" s="7" t="s">
        <v>59</v>
      </c>
      <c r="D13" s="9" t="n">
        <v>0.82</v>
      </c>
      <c r="E13" s="8" t="n">
        <v>600</v>
      </c>
      <c r="F13" s="8" t="n">
        <v>60</v>
      </c>
      <c r="G13" s="7" t="n">
        <v>4</v>
      </c>
      <c r="H13" s="13" t="n">
        <f aca="false">IF($B13="Critical",Org_Info!$B$18,IF($B13="High",Org_Info!$B$19,IF($B13="Medium",Org_Info!$B$20,IF($B13="Low",Org_Info!$B$21,0))))</f>
        <v>0.75</v>
      </c>
      <c r="I13" s="14" t="str">
        <f aca="false">IF(AND($C13="Yes",$D13&gt;=Org_Info!$B$10),"Yes","No")</f>
        <v>Yes</v>
      </c>
      <c r="J13" s="15" t="n">
        <f aca="false">IF($C13="Yes",$F13*$G13+(1-$D13)*$E13,0)</f>
        <v>348</v>
      </c>
      <c r="K13" s="15" t="n">
        <f aca="false">IF($C13="Yes",$E13+$F13*$G13,0)</f>
        <v>840</v>
      </c>
      <c r="L13" s="15" t="n">
        <f aca="false">IF($C13="Yes",$H13*IF($I13="Yes",$J13,$K13),0)</f>
        <v>261</v>
      </c>
    </row>
    <row r="14" customFormat="false" ht="15" hidden="false" customHeight="false" outlineLevel="0" collapsed="false">
      <c r="A14" s="7" t="s">
        <v>69</v>
      </c>
      <c r="B14" s="7" t="s">
        <v>66</v>
      </c>
      <c r="C14" s="7" t="s">
        <v>59</v>
      </c>
      <c r="D14" s="9" t="n">
        <v>0.85</v>
      </c>
      <c r="E14" s="8" t="n">
        <v>900</v>
      </c>
      <c r="F14" s="8" t="n">
        <v>50</v>
      </c>
      <c r="G14" s="7" t="n">
        <v>5</v>
      </c>
      <c r="H14" s="13" t="n">
        <f aca="false">IF($B14="Critical",Org_Info!$B$18,IF($B14="High",Org_Info!$B$19,IF($B14="Medium",Org_Info!$B$20,IF($B14="Low",Org_Info!$B$21,0))))</f>
        <v>0.75</v>
      </c>
      <c r="I14" s="14" t="str">
        <f aca="false">IF(AND($C14="Yes",$D14&gt;=Org_Info!$B$10),"Yes","No")</f>
        <v>Yes</v>
      </c>
      <c r="J14" s="15" t="n">
        <f aca="false">IF($C14="Yes",$F14*$G14+(1-$D14)*$E14,0)</f>
        <v>385</v>
      </c>
      <c r="K14" s="15" t="n">
        <f aca="false">IF($C14="Yes",$E14+$F14*$G14,0)</f>
        <v>1150</v>
      </c>
      <c r="L14" s="15" t="n">
        <f aca="false">IF($C14="Yes",$H14*IF($I14="Yes",$J14,$K14),0)</f>
        <v>288.75</v>
      </c>
    </row>
    <row r="15" customFormat="false" ht="15" hidden="false" customHeight="false" outlineLevel="0" collapsed="false">
      <c r="A15" s="7" t="s">
        <v>70</v>
      </c>
      <c r="B15" s="7" t="s">
        <v>66</v>
      </c>
      <c r="C15" s="7" t="s">
        <v>59</v>
      </c>
      <c r="D15" s="9" t="n">
        <v>0.76</v>
      </c>
      <c r="E15" s="8" t="n">
        <v>650</v>
      </c>
      <c r="F15" s="8" t="n">
        <v>55</v>
      </c>
      <c r="G15" s="7" t="n">
        <v>4</v>
      </c>
      <c r="H15" s="13" t="n">
        <f aca="false">IF($B15="Critical",Org_Info!$B$18,IF($B15="High",Org_Info!$B$19,IF($B15="Medium",Org_Info!$B$20,IF($B15="Low",Org_Info!$B$21,0))))</f>
        <v>0.75</v>
      </c>
      <c r="I15" s="14" t="str">
        <f aca="false">IF(AND($C15="Yes",$D15&gt;=Org_Info!$B$10),"Yes","No")</f>
        <v>Yes</v>
      </c>
      <c r="J15" s="15" t="n">
        <f aca="false">IF($C15="Yes",$F15*$G15+(1-$D15)*$E15,0)</f>
        <v>376</v>
      </c>
      <c r="K15" s="15" t="n">
        <f aca="false">IF($C15="Yes",$E15+$F15*$G15,0)</f>
        <v>870</v>
      </c>
      <c r="L15" s="15" t="n">
        <f aca="false">IF($C15="Yes",$H15*IF($I15="Yes",$J15,$K15),0)</f>
        <v>282</v>
      </c>
    </row>
    <row r="16" customFormat="false" ht="15" hidden="false" customHeight="false" outlineLevel="0" collapsed="false">
      <c r="A16" s="7" t="s">
        <v>71</v>
      </c>
      <c r="B16" s="7" t="s">
        <v>66</v>
      </c>
      <c r="C16" s="7" t="s">
        <v>59</v>
      </c>
      <c r="D16" s="9" t="n">
        <v>0.7</v>
      </c>
      <c r="E16" s="8" t="n">
        <v>500</v>
      </c>
      <c r="F16" s="8" t="n">
        <v>45</v>
      </c>
      <c r="G16" s="7" t="n">
        <v>5</v>
      </c>
      <c r="H16" s="13" t="n">
        <f aca="false">IF($B16="Critical",Org_Info!$B$18,IF($B16="High",Org_Info!$B$19,IF($B16="Medium",Org_Info!$B$20,IF($B16="Low",Org_Info!$B$21,0))))</f>
        <v>0.75</v>
      </c>
      <c r="I16" s="14" t="str">
        <f aca="false">IF(AND($C16="Yes",$D16&gt;=Org_Info!$B$10),"Yes","No")</f>
        <v>Yes</v>
      </c>
      <c r="J16" s="15" t="n">
        <f aca="false">IF($C16="Yes",$F16*$G16+(1-$D16)*$E16,0)</f>
        <v>375</v>
      </c>
      <c r="K16" s="15" t="n">
        <f aca="false">IF($C16="Yes",$E16+$F16*$G16,0)</f>
        <v>725</v>
      </c>
      <c r="L16" s="15" t="n">
        <f aca="false">IF($C16="Yes",$H16*IF($I16="Yes",$J16,$K16),0)</f>
        <v>281.25</v>
      </c>
    </row>
    <row r="17" customFormat="false" ht="15" hidden="false" customHeight="false" outlineLevel="0" collapsed="false">
      <c r="A17" s="7" t="s">
        <v>72</v>
      </c>
      <c r="B17" s="7" t="s">
        <v>66</v>
      </c>
      <c r="C17" s="7" t="s">
        <v>59</v>
      </c>
      <c r="D17" s="9" t="n">
        <v>0.9</v>
      </c>
      <c r="E17" s="8" t="n">
        <v>400</v>
      </c>
      <c r="F17" s="8" t="n">
        <v>120</v>
      </c>
      <c r="G17" s="7" t="n">
        <v>2</v>
      </c>
      <c r="H17" s="13" t="n">
        <f aca="false">IF($B17="Critical",Org_Info!$B$18,IF($B17="High",Org_Info!$B$19,IF($B17="Medium",Org_Info!$B$20,IF($B17="Low",Org_Info!$B$21,0))))</f>
        <v>0.75</v>
      </c>
      <c r="I17" s="14" t="str">
        <f aca="false">IF(AND($C17="Yes",$D17&gt;=Org_Info!$B$10),"Yes","No")</f>
        <v>Yes</v>
      </c>
      <c r="J17" s="15" t="n">
        <f aca="false">IF($C17="Yes",$F17*$G17+(1-$D17)*$E17,0)</f>
        <v>280</v>
      </c>
      <c r="K17" s="15" t="n">
        <f aca="false">IF($C17="Yes",$E17+$F17*$G17,0)</f>
        <v>640</v>
      </c>
      <c r="L17" s="15" t="n">
        <f aca="false">IF($C17="Yes",$H17*IF($I17="Yes",$J17,$K17),0)</f>
        <v>210</v>
      </c>
    </row>
    <row r="18" customFormat="false" ht="15" hidden="false" customHeight="false" outlineLevel="0" collapsed="false">
      <c r="A18" s="7" t="s">
        <v>73</v>
      </c>
      <c r="B18" s="7" t="s">
        <v>66</v>
      </c>
      <c r="C18" s="7" t="s">
        <v>59</v>
      </c>
      <c r="D18" s="9" t="n">
        <v>0.88</v>
      </c>
      <c r="E18" s="8" t="n">
        <v>350</v>
      </c>
      <c r="F18" s="8" t="n">
        <v>60</v>
      </c>
      <c r="G18" s="7" t="n">
        <v>3</v>
      </c>
      <c r="H18" s="13" t="n">
        <f aca="false">IF($B18="Critical",Org_Info!$B$18,IF($B18="High",Org_Info!$B$19,IF($B18="Medium",Org_Info!$B$20,IF($B18="Low",Org_Info!$B$21,0))))</f>
        <v>0.75</v>
      </c>
      <c r="I18" s="14" t="str">
        <f aca="false">IF(AND($C18="Yes",$D18&gt;=Org_Info!$B$10),"Yes","No")</f>
        <v>Yes</v>
      </c>
      <c r="J18" s="15" t="n">
        <f aca="false">IF($C18="Yes",$F18*$G18+(1-$D18)*$E18,0)</f>
        <v>222</v>
      </c>
      <c r="K18" s="15" t="n">
        <f aca="false">IF($C18="Yes",$E18+$F18*$G18,0)</f>
        <v>530</v>
      </c>
      <c r="L18" s="15" t="n">
        <f aca="false">IF($C18="Yes",$H18*IF($I18="Yes",$J18,$K18),0)</f>
        <v>166.5</v>
      </c>
    </row>
    <row r="19" customFormat="false" ht="15" hidden="false" customHeight="false" outlineLevel="0" collapsed="false">
      <c r="A19" s="7" t="s">
        <v>74</v>
      </c>
      <c r="B19" s="7" t="s">
        <v>66</v>
      </c>
      <c r="C19" s="7" t="s">
        <v>59</v>
      </c>
      <c r="D19" s="9" t="n">
        <v>0.72</v>
      </c>
      <c r="E19" s="8" t="n">
        <v>1200</v>
      </c>
      <c r="F19" s="8" t="n">
        <v>40</v>
      </c>
      <c r="G19" s="7" t="n">
        <v>6</v>
      </c>
      <c r="H19" s="13" t="n">
        <f aca="false">IF($B19="Critical",Org_Info!$B$18,IF($B19="High",Org_Info!$B$19,IF($B19="Medium",Org_Info!$B$20,IF($B19="Low",Org_Info!$B$21,0))))</f>
        <v>0.75</v>
      </c>
      <c r="I19" s="14" t="str">
        <f aca="false">IF(AND($C19="Yes",$D19&gt;=Org_Info!$B$10),"Yes","No")</f>
        <v>Yes</v>
      </c>
      <c r="J19" s="15" t="n">
        <f aca="false">IF($C19="Yes",$F19*$G19+(1-$D19)*$E19,0)</f>
        <v>576</v>
      </c>
      <c r="K19" s="15" t="n">
        <f aca="false">IF($C19="Yes",$E19+$F19*$G19,0)</f>
        <v>1440</v>
      </c>
      <c r="L19" s="15" t="n">
        <f aca="false">IF($C19="Yes",$H19*IF($I19="Yes",$J19,$K19),0)</f>
        <v>432</v>
      </c>
    </row>
    <row r="20" customFormat="false" ht="15" hidden="false" customHeight="false" outlineLevel="0" collapsed="false">
      <c r="A20" s="7" t="s">
        <v>75</v>
      </c>
      <c r="B20" s="7" t="s">
        <v>66</v>
      </c>
      <c r="C20" s="7" t="s">
        <v>59</v>
      </c>
      <c r="D20" s="9" t="n">
        <v>0.8</v>
      </c>
      <c r="E20" s="8" t="n">
        <v>550</v>
      </c>
      <c r="F20" s="8" t="n">
        <v>50</v>
      </c>
      <c r="G20" s="7" t="n">
        <v>4</v>
      </c>
      <c r="H20" s="13" t="n">
        <f aca="false">IF($B20="Critical",Org_Info!$B$18,IF($B20="High",Org_Info!$B$19,IF($B20="Medium",Org_Info!$B$20,IF($B20="Low",Org_Info!$B$21,0))))</f>
        <v>0.75</v>
      </c>
      <c r="I20" s="14" t="str">
        <f aca="false">IF(AND($C20="Yes",$D20&gt;=Org_Info!$B$10),"Yes","No")</f>
        <v>Yes</v>
      </c>
      <c r="J20" s="15" t="n">
        <f aca="false">IF($C20="Yes",$F20*$G20+(1-$D20)*$E20,0)</f>
        <v>310</v>
      </c>
      <c r="K20" s="15" t="n">
        <f aca="false">IF($C20="Yes",$E20+$F20*$G20,0)</f>
        <v>750</v>
      </c>
      <c r="L20" s="15" t="n">
        <f aca="false">IF($C20="Yes",$H20*IF($I20="Yes",$J20,$K20),0)</f>
        <v>232.5</v>
      </c>
    </row>
    <row r="21" customFormat="false" ht="15" hidden="false" customHeight="false" outlineLevel="0" collapsed="false">
      <c r="A21" s="7" t="s">
        <v>76</v>
      </c>
      <c r="B21" s="7" t="s">
        <v>77</v>
      </c>
      <c r="C21" s="7" t="s">
        <v>59</v>
      </c>
      <c r="D21" s="9" t="n">
        <v>0.75</v>
      </c>
      <c r="E21" s="8" t="n">
        <v>300</v>
      </c>
      <c r="F21" s="8" t="n">
        <v>20</v>
      </c>
      <c r="G21" s="7" t="n">
        <v>4</v>
      </c>
      <c r="H21" s="13" t="n">
        <f aca="false">IF($B21="Critical",Org_Info!$B$18,IF($B21="High",Org_Info!$B$19,IF($B21="Medium",Org_Info!$B$20,IF($B21="Low",Org_Info!$B$21,0))))</f>
        <v>0.5</v>
      </c>
      <c r="I21" s="14" t="str">
        <f aca="false">IF(AND($C21="Yes",$D21&gt;=Org_Info!$B$10),"Yes","No")</f>
        <v>Yes</v>
      </c>
      <c r="J21" s="15" t="n">
        <f aca="false">IF($C21="Yes",$F21*$G21+(1-$D21)*$E21,0)</f>
        <v>155</v>
      </c>
      <c r="K21" s="15" t="n">
        <f aca="false">IF($C21="Yes",$E21+$F21*$G21,0)</f>
        <v>380</v>
      </c>
      <c r="L21" s="15" t="n">
        <f aca="false">IF($C21="Yes",$H21*IF($I21="Yes",$J21,$K21),0)</f>
        <v>77.5</v>
      </c>
    </row>
    <row r="22" customFormat="false" ht="15" hidden="false" customHeight="false" outlineLevel="0" collapsed="false">
      <c r="A22" s="7" t="s">
        <v>78</v>
      </c>
      <c r="B22" s="7" t="s">
        <v>77</v>
      </c>
      <c r="C22" s="7" t="s">
        <v>59</v>
      </c>
      <c r="D22" s="9" t="n">
        <v>0.7</v>
      </c>
      <c r="E22" s="8" t="n">
        <v>260</v>
      </c>
      <c r="F22" s="8" t="n">
        <v>18</v>
      </c>
      <c r="G22" s="7" t="n">
        <v>4</v>
      </c>
      <c r="H22" s="13" t="n">
        <f aca="false">IF($B22="Critical",Org_Info!$B$18,IF($B22="High",Org_Info!$B$19,IF($B22="Medium",Org_Info!$B$20,IF($B22="Low",Org_Info!$B$21,0))))</f>
        <v>0.5</v>
      </c>
      <c r="I22" s="14" t="str">
        <f aca="false">IF(AND($C22="Yes",$D22&gt;=Org_Info!$B$10),"Yes","No")</f>
        <v>Yes</v>
      </c>
      <c r="J22" s="15" t="n">
        <f aca="false">IF($C22="Yes",$F22*$G22+(1-$D22)*$E22,0)</f>
        <v>150</v>
      </c>
      <c r="K22" s="15" t="n">
        <f aca="false">IF($C22="Yes",$E22+$F22*$G22,0)</f>
        <v>332</v>
      </c>
      <c r="L22" s="15" t="n">
        <f aca="false">IF($C22="Yes",$H22*IF($I22="Yes",$J22,$K22),0)</f>
        <v>75</v>
      </c>
    </row>
    <row r="23" customFormat="false" ht="15" hidden="false" customHeight="false" outlineLevel="0" collapsed="false">
      <c r="A23" s="7" t="s">
        <v>79</v>
      </c>
      <c r="B23" s="7" t="s">
        <v>77</v>
      </c>
      <c r="C23" s="7" t="s">
        <v>59</v>
      </c>
      <c r="D23" s="9" t="n">
        <v>0.68</v>
      </c>
      <c r="E23" s="8" t="n">
        <v>240</v>
      </c>
      <c r="F23" s="8" t="n">
        <v>22</v>
      </c>
      <c r="G23" s="7" t="n">
        <v>5</v>
      </c>
      <c r="H23" s="13" t="n">
        <f aca="false">IF($B23="Critical",Org_Info!$B$18,IF($B23="High",Org_Info!$B$19,IF($B23="Medium",Org_Info!$B$20,IF($B23="Low",Org_Info!$B$21,0))))</f>
        <v>0.5</v>
      </c>
      <c r="I23" s="14" t="str">
        <f aca="false">IF(AND($C23="Yes",$D23&gt;=Org_Info!$B$10),"Yes","No")</f>
        <v>Yes</v>
      </c>
      <c r="J23" s="15" t="n">
        <f aca="false">IF($C23="Yes",$F23*$G23+(1-$D23)*$E23,0)</f>
        <v>186.8</v>
      </c>
      <c r="K23" s="15" t="n">
        <f aca="false">IF($C23="Yes",$E23+$F23*$G23,0)</f>
        <v>350</v>
      </c>
      <c r="L23" s="15" t="n">
        <f aca="false">IF($C23="Yes",$H23*IF($I23="Yes",$J23,$K23),0)</f>
        <v>93.4</v>
      </c>
    </row>
    <row r="24" customFormat="false" ht="15" hidden="false" customHeight="false" outlineLevel="0" collapsed="false">
      <c r="A24" s="7" t="s">
        <v>80</v>
      </c>
      <c r="B24" s="7" t="s">
        <v>77</v>
      </c>
      <c r="C24" s="7" t="s">
        <v>59</v>
      </c>
      <c r="D24" s="9" t="n">
        <v>0.8</v>
      </c>
      <c r="E24" s="8" t="n">
        <v>220</v>
      </c>
      <c r="F24" s="8" t="n">
        <v>12</v>
      </c>
      <c r="G24" s="7" t="n">
        <v>3</v>
      </c>
      <c r="H24" s="13" t="n">
        <f aca="false">IF($B24="Critical",Org_Info!$B$18,IF($B24="High",Org_Info!$B$19,IF($B24="Medium",Org_Info!$B$20,IF($B24="Low",Org_Info!$B$21,0))))</f>
        <v>0.5</v>
      </c>
      <c r="I24" s="14" t="str">
        <f aca="false">IF(AND($C24="Yes",$D24&gt;=Org_Info!$B$10),"Yes","No")</f>
        <v>Yes</v>
      </c>
      <c r="J24" s="15" t="n">
        <f aca="false">IF($C24="Yes",$F24*$G24+(1-$D24)*$E24,0)</f>
        <v>80</v>
      </c>
      <c r="K24" s="15" t="n">
        <f aca="false">IF($C24="Yes",$E24+$F24*$G24,0)</f>
        <v>256</v>
      </c>
      <c r="L24" s="15" t="n">
        <f aca="false">IF($C24="Yes",$H24*IF($I24="Yes",$J24,$K24),0)</f>
        <v>40</v>
      </c>
    </row>
    <row r="25" customFormat="false" ht="15" hidden="false" customHeight="false" outlineLevel="0" collapsed="false">
      <c r="A25" s="7" t="s">
        <v>81</v>
      </c>
      <c r="B25" s="7" t="s">
        <v>77</v>
      </c>
      <c r="C25" s="7" t="s">
        <v>59</v>
      </c>
      <c r="D25" s="9" t="n">
        <v>0.72</v>
      </c>
      <c r="E25" s="8" t="n">
        <v>120</v>
      </c>
      <c r="F25" s="8" t="n">
        <v>8</v>
      </c>
      <c r="G25" s="7" t="n">
        <v>4</v>
      </c>
      <c r="H25" s="13" t="n">
        <f aca="false">IF($B25="Critical",Org_Info!$B$18,IF($B25="High",Org_Info!$B$19,IF($B25="Medium",Org_Info!$B$20,IF($B25="Low",Org_Info!$B$21,0))))</f>
        <v>0.5</v>
      </c>
      <c r="I25" s="14" t="str">
        <f aca="false">IF(AND($C25="Yes",$D25&gt;=Org_Info!$B$10),"Yes","No")</f>
        <v>Yes</v>
      </c>
      <c r="J25" s="15" t="n">
        <f aca="false">IF($C25="Yes",$F25*$G25+(1-$D25)*$E25,0)</f>
        <v>65.6</v>
      </c>
      <c r="K25" s="15" t="n">
        <f aca="false">IF($C25="Yes",$E25+$F25*$G25,0)</f>
        <v>152</v>
      </c>
      <c r="L25" s="15" t="n">
        <f aca="false">IF($C25="Yes",$H25*IF($I25="Yes",$J25,$K25),0)</f>
        <v>32.8</v>
      </c>
    </row>
    <row r="26" customFormat="false" ht="15" hidden="false" customHeight="false" outlineLevel="0" collapsed="false">
      <c r="A26" s="7" t="s">
        <v>82</v>
      </c>
      <c r="B26" s="7" t="s">
        <v>77</v>
      </c>
      <c r="C26" s="7" t="s">
        <v>59</v>
      </c>
      <c r="D26" s="9" t="n">
        <v>0.66</v>
      </c>
      <c r="E26" s="8" t="n">
        <v>180</v>
      </c>
      <c r="F26" s="8" t="n">
        <v>25</v>
      </c>
      <c r="G26" s="7" t="n">
        <v>5</v>
      </c>
      <c r="H26" s="13" t="n">
        <f aca="false">IF($B26="Critical",Org_Info!$B$18,IF($B26="High",Org_Info!$B$19,IF($B26="Medium",Org_Info!$B$20,IF($B26="Low",Org_Info!$B$21,0))))</f>
        <v>0.5</v>
      </c>
      <c r="I26" s="14" t="str">
        <f aca="false">IF(AND($C26="Yes",$D26&gt;=Org_Info!$B$10),"Yes","No")</f>
        <v>Yes</v>
      </c>
      <c r="J26" s="15" t="n">
        <f aca="false">IF($C26="Yes",$F26*$G26+(1-$D26)*$E26,0)</f>
        <v>186.2</v>
      </c>
      <c r="K26" s="15" t="n">
        <f aca="false">IF($C26="Yes",$E26+$F26*$G26,0)</f>
        <v>305</v>
      </c>
      <c r="L26" s="15" t="n">
        <f aca="false">IF($C26="Yes",$H26*IF($I26="Yes",$J26,$K26),0)</f>
        <v>93.1</v>
      </c>
    </row>
    <row r="27" customFormat="false" ht="15" hidden="false" customHeight="false" outlineLevel="0" collapsed="false">
      <c r="A27" s="7" t="s">
        <v>83</v>
      </c>
      <c r="B27" s="7" t="s">
        <v>77</v>
      </c>
      <c r="C27" s="7" t="s">
        <v>59</v>
      </c>
      <c r="D27" s="9" t="n">
        <v>0.78</v>
      </c>
      <c r="E27" s="8" t="n">
        <v>90</v>
      </c>
      <c r="F27" s="8" t="n">
        <v>6</v>
      </c>
      <c r="G27" s="7" t="n">
        <v>3</v>
      </c>
      <c r="H27" s="13" t="n">
        <f aca="false">IF($B27="Critical",Org_Info!$B$18,IF($B27="High",Org_Info!$B$19,IF($B27="Medium",Org_Info!$B$20,IF($B27="Low",Org_Info!$B$21,0))))</f>
        <v>0.5</v>
      </c>
      <c r="I27" s="14" t="str">
        <f aca="false">IF(AND($C27="Yes",$D27&gt;=Org_Info!$B$10),"Yes","No")</f>
        <v>Yes</v>
      </c>
      <c r="J27" s="15" t="n">
        <f aca="false">IF($C27="Yes",$F27*$G27+(1-$D27)*$E27,0)</f>
        <v>37.8</v>
      </c>
      <c r="K27" s="15" t="n">
        <f aca="false">IF($C27="Yes",$E27+$F27*$G27,0)</f>
        <v>108</v>
      </c>
      <c r="L27" s="15" t="n">
        <f aca="false">IF($C27="Yes",$H27*IF($I27="Yes",$J27,$K27),0)</f>
        <v>18.9</v>
      </c>
    </row>
    <row r="28" customFormat="false" ht="15" hidden="false" customHeight="false" outlineLevel="0" collapsed="false">
      <c r="A28" s="7" t="s">
        <v>84</v>
      </c>
      <c r="B28" s="7" t="s">
        <v>77</v>
      </c>
      <c r="C28" s="7" t="s">
        <v>59</v>
      </c>
      <c r="D28" s="9" t="n">
        <v>0.82</v>
      </c>
      <c r="E28" s="8" t="n">
        <v>320</v>
      </c>
      <c r="F28" s="8" t="n">
        <v>30</v>
      </c>
      <c r="G28" s="7" t="n">
        <v>4</v>
      </c>
      <c r="H28" s="13" t="n">
        <f aca="false">IF($B28="Critical",Org_Info!$B$18,IF($B28="High",Org_Info!$B$19,IF($B28="Medium",Org_Info!$B$20,IF($B28="Low",Org_Info!$B$21,0))))</f>
        <v>0.5</v>
      </c>
      <c r="I28" s="14" t="str">
        <f aca="false">IF(AND($C28="Yes",$D28&gt;=Org_Info!$B$10),"Yes","No")</f>
        <v>Yes</v>
      </c>
      <c r="J28" s="15" t="n">
        <f aca="false">IF($C28="Yes",$F28*$G28+(1-$D28)*$E28,0)</f>
        <v>177.6</v>
      </c>
      <c r="K28" s="15" t="n">
        <f aca="false">IF($C28="Yes",$E28+$F28*$G28,0)</f>
        <v>440</v>
      </c>
      <c r="L28" s="15" t="n">
        <f aca="false">IF($C28="Yes",$H28*IF($I28="Yes",$J28,$K28),0)</f>
        <v>88.8</v>
      </c>
    </row>
    <row r="29" customFormat="false" ht="15" hidden="false" customHeight="false" outlineLevel="0" collapsed="false">
      <c r="A29" s="7" t="s">
        <v>85</v>
      </c>
      <c r="B29" s="7" t="s">
        <v>77</v>
      </c>
      <c r="C29" s="7" t="s">
        <v>59</v>
      </c>
      <c r="D29" s="9" t="n">
        <v>0.74</v>
      </c>
      <c r="E29" s="8" t="n">
        <v>110</v>
      </c>
      <c r="F29" s="8" t="n">
        <v>8</v>
      </c>
      <c r="G29" s="7" t="n">
        <v>4</v>
      </c>
      <c r="H29" s="13" t="n">
        <f aca="false">IF($B29="Critical",Org_Info!$B$18,IF($B29="High",Org_Info!$B$19,IF($B29="Medium",Org_Info!$B$20,IF($B29="Low",Org_Info!$B$21,0))))</f>
        <v>0.5</v>
      </c>
      <c r="I29" s="14" t="str">
        <f aca="false">IF(AND($C29="Yes",$D29&gt;=Org_Info!$B$10),"Yes","No")</f>
        <v>Yes</v>
      </c>
      <c r="J29" s="15" t="n">
        <f aca="false">IF($C29="Yes",$F29*$G29+(1-$D29)*$E29,0)</f>
        <v>60.6</v>
      </c>
      <c r="K29" s="15" t="n">
        <f aca="false">IF($C29="Yes",$E29+$F29*$G29,0)</f>
        <v>142</v>
      </c>
      <c r="L29" s="15" t="n">
        <f aca="false">IF($C29="Yes",$H29*IF($I29="Yes",$J29,$K29),0)</f>
        <v>30.3</v>
      </c>
    </row>
    <row r="30" customFormat="false" ht="15" hidden="false" customHeight="false" outlineLevel="0" collapsed="false">
      <c r="A30" s="7" t="s">
        <v>86</v>
      </c>
      <c r="B30" s="7" t="s">
        <v>77</v>
      </c>
      <c r="C30" s="7" t="s">
        <v>59</v>
      </c>
      <c r="D30" s="9" t="n">
        <v>0.7</v>
      </c>
      <c r="E30" s="8" t="n">
        <v>200</v>
      </c>
      <c r="F30" s="8" t="n">
        <v>10</v>
      </c>
      <c r="G30" s="7" t="n">
        <v>5</v>
      </c>
      <c r="H30" s="13" t="n">
        <f aca="false">IF($B30="Critical",Org_Info!$B$18,IF($B30="High",Org_Info!$B$19,IF($B30="Medium",Org_Info!$B$20,IF($B30="Low",Org_Info!$B$21,0))))</f>
        <v>0.5</v>
      </c>
      <c r="I30" s="14" t="str">
        <f aca="false">IF(AND($C30="Yes",$D30&gt;=Org_Info!$B$10),"Yes","No")</f>
        <v>Yes</v>
      </c>
      <c r="J30" s="15" t="n">
        <f aca="false">IF($C30="Yes",$F30*$G30+(1-$D30)*$E30,0)</f>
        <v>110</v>
      </c>
      <c r="K30" s="15" t="n">
        <f aca="false">IF($C30="Yes",$E30+$F30*$G30,0)</f>
        <v>250</v>
      </c>
      <c r="L30" s="15" t="n">
        <f aca="false">IF($C30="Yes",$H30*IF($I30="Yes",$J30,$K30),0)</f>
        <v>55</v>
      </c>
    </row>
    <row r="31" customFormat="false" ht="15" hidden="false" customHeight="false" outlineLevel="0" collapsed="false">
      <c r="A31" s="7" t="s">
        <v>87</v>
      </c>
      <c r="B31" s="7" t="s">
        <v>77</v>
      </c>
      <c r="C31" s="7" t="s">
        <v>59</v>
      </c>
      <c r="D31" s="9" t="n">
        <v>0.68</v>
      </c>
      <c r="E31" s="8" t="n">
        <v>150</v>
      </c>
      <c r="F31" s="8" t="n">
        <v>12</v>
      </c>
      <c r="G31" s="7" t="n">
        <v>5</v>
      </c>
      <c r="H31" s="13" t="n">
        <f aca="false">IF($B31="Critical",Org_Info!$B$18,IF($B31="High",Org_Info!$B$19,IF($B31="Medium",Org_Info!$B$20,IF($B31="Low",Org_Info!$B$21,0))))</f>
        <v>0.5</v>
      </c>
      <c r="I31" s="14" t="str">
        <f aca="false">IF(AND($C31="Yes",$D31&gt;=Org_Info!$B$10),"Yes","No")</f>
        <v>Yes</v>
      </c>
      <c r="J31" s="15" t="n">
        <f aca="false">IF($C31="Yes",$F31*$G31+(1-$D31)*$E31,0)</f>
        <v>108</v>
      </c>
      <c r="K31" s="15" t="n">
        <f aca="false">IF($C31="Yes",$E31+$F31*$G31,0)</f>
        <v>210</v>
      </c>
      <c r="L31" s="15" t="n">
        <f aca="false">IF($C31="Yes",$H31*IF($I31="Yes",$J31,$K31),0)</f>
        <v>54</v>
      </c>
    </row>
    <row r="32" customFormat="false" ht="15" hidden="false" customHeight="false" outlineLevel="0" collapsed="false">
      <c r="A32" s="7" t="s">
        <v>88</v>
      </c>
      <c r="B32" s="7" t="s">
        <v>77</v>
      </c>
      <c r="C32" s="7" t="s">
        <v>59</v>
      </c>
      <c r="D32" s="9" t="n">
        <v>0.72</v>
      </c>
      <c r="E32" s="8" t="n">
        <v>130</v>
      </c>
      <c r="F32" s="8" t="n">
        <v>9</v>
      </c>
      <c r="G32" s="7" t="n">
        <v>4</v>
      </c>
      <c r="H32" s="13" t="n">
        <f aca="false">IF($B32="Critical",Org_Info!$B$18,IF($B32="High",Org_Info!$B$19,IF($B32="Medium",Org_Info!$B$20,IF($B32="Low",Org_Info!$B$21,0))))</f>
        <v>0.5</v>
      </c>
      <c r="I32" s="14" t="str">
        <f aca="false">IF(AND($C32="Yes",$D32&gt;=Org_Info!$B$10),"Yes","No")</f>
        <v>Yes</v>
      </c>
      <c r="J32" s="15" t="n">
        <f aca="false">IF($C32="Yes",$F32*$G32+(1-$D32)*$E32,0)</f>
        <v>72.4</v>
      </c>
      <c r="K32" s="15" t="n">
        <f aca="false">IF($C32="Yes",$E32+$F32*$G32,0)</f>
        <v>166</v>
      </c>
      <c r="L32" s="15" t="n">
        <f aca="false">IF($C32="Yes",$H32*IF($I32="Yes",$J32,$K32),0)</f>
        <v>36.2</v>
      </c>
    </row>
    <row r="33" customFormat="false" ht="15" hidden="false" customHeight="false" outlineLevel="0" collapsed="false">
      <c r="A33" s="7" t="s">
        <v>89</v>
      </c>
      <c r="B33" s="7" t="s">
        <v>90</v>
      </c>
      <c r="C33" s="7" t="s">
        <v>59</v>
      </c>
      <c r="D33" s="9" t="n">
        <v>0.65</v>
      </c>
      <c r="E33" s="8" t="n">
        <v>60</v>
      </c>
      <c r="F33" s="8" t="n">
        <v>4</v>
      </c>
      <c r="G33" s="7" t="n">
        <v>3</v>
      </c>
      <c r="H33" s="13" t="n">
        <f aca="false">IF($B33="Critical",Org_Info!$B$18,IF($B33="High",Org_Info!$B$19,IF($B33="Medium",Org_Info!$B$20,IF($B33="Low",Org_Info!$B$21,0))))</f>
        <v>0.25</v>
      </c>
      <c r="I33" s="14" t="str">
        <f aca="false">IF(AND($C33="Yes",$D33&gt;=Org_Info!$B$10),"Yes","No")</f>
        <v>Yes</v>
      </c>
      <c r="J33" s="15" t="n">
        <f aca="false">IF($C33="Yes",$F33*$G33+(1-$D33)*$E33,0)</f>
        <v>33</v>
      </c>
      <c r="K33" s="15" t="n">
        <f aca="false">IF($C33="Yes",$E33+$F33*$G33,0)</f>
        <v>72</v>
      </c>
      <c r="L33" s="15" t="n">
        <f aca="false">IF($C33="Yes",$H33*IF($I33="Yes",$J33,$K33),0)</f>
        <v>8.25</v>
      </c>
    </row>
    <row r="34" customFormat="false" ht="15" hidden="false" customHeight="false" outlineLevel="0" collapsed="false">
      <c r="A34" s="7" t="s">
        <v>91</v>
      </c>
      <c r="B34" s="7" t="s">
        <v>90</v>
      </c>
      <c r="C34" s="7" t="s">
        <v>59</v>
      </c>
      <c r="D34" s="9" t="n">
        <v>0.65</v>
      </c>
      <c r="E34" s="8" t="n">
        <v>40</v>
      </c>
      <c r="F34" s="8" t="n">
        <v>3</v>
      </c>
      <c r="G34" s="7" t="n">
        <v>3</v>
      </c>
      <c r="H34" s="13" t="n">
        <f aca="false">IF($B34="Critical",Org_Info!$B$18,IF($B34="High",Org_Info!$B$19,IF($B34="Medium",Org_Info!$B$20,IF($B34="Low",Org_Info!$B$21,0))))</f>
        <v>0.25</v>
      </c>
      <c r="I34" s="14" t="str">
        <f aca="false">IF(AND($C34="Yes",$D34&gt;=Org_Info!$B$10),"Yes","No")</f>
        <v>Yes</v>
      </c>
      <c r="J34" s="15" t="n">
        <f aca="false">IF($C34="Yes",$F34*$G34+(1-$D34)*$E34,0)</f>
        <v>23</v>
      </c>
      <c r="K34" s="15" t="n">
        <f aca="false">IF($C34="Yes",$E34+$F34*$G34,0)</f>
        <v>49</v>
      </c>
      <c r="L34" s="15" t="n">
        <f aca="false">IF($C34="Yes",$H34*IF($I34="Yes",$J34,$K34),0)</f>
        <v>5.75</v>
      </c>
    </row>
    <row r="35" customFormat="false" ht="15" hidden="false" customHeight="false" outlineLevel="0" collapsed="false">
      <c r="A35" s="7" t="s">
        <v>92</v>
      </c>
      <c r="B35" s="7" t="s">
        <v>90</v>
      </c>
      <c r="C35" s="7" t="s">
        <v>59</v>
      </c>
      <c r="D35" s="9" t="n">
        <v>0.65</v>
      </c>
      <c r="E35" s="8" t="n">
        <v>25</v>
      </c>
      <c r="F35" s="8" t="n">
        <v>2</v>
      </c>
      <c r="G35" s="7" t="n">
        <v>2</v>
      </c>
      <c r="H35" s="13" t="n">
        <f aca="false">IF($B35="Critical",Org_Info!$B$18,IF($B35="High",Org_Info!$B$19,IF($B35="Medium",Org_Info!$B$20,IF($B35="Low",Org_Info!$B$21,0))))</f>
        <v>0.25</v>
      </c>
      <c r="I35" s="14" t="str">
        <f aca="false">IF(AND($C35="Yes",$D35&gt;=Org_Info!$B$10),"Yes","No")</f>
        <v>Yes</v>
      </c>
      <c r="J35" s="15" t="n">
        <f aca="false">IF($C35="Yes",$F35*$G35+(1-$D35)*$E35,0)</f>
        <v>12.75</v>
      </c>
      <c r="K35" s="15" t="n">
        <f aca="false">IF($C35="Yes",$E35+$F35*$G35,0)</f>
        <v>29</v>
      </c>
      <c r="L35" s="15" t="n">
        <f aca="false">IF($C35="Yes",$H35*IF($I35="Yes",$J35,$K35),0)</f>
        <v>3.1875</v>
      </c>
    </row>
    <row r="36" customFormat="false" ht="15" hidden="false" customHeight="false" outlineLevel="0" collapsed="false">
      <c r="A36" s="7" t="s">
        <v>93</v>
      </c>
      <c r="B36" s="7" t="s">
        <v>90</v>
      </c>
      <c r="C36" s="7" t="s">
        <v>59</v>
      </c>
      <c r="D36" s="9" t="n">
        <v>0.65</v>
      </c>
      <c r="E36" s="8" t="n">
        <v>30</v>
      </c>
      <c r="F36" s="8" t="n">
        <v>3</v>
      </c>
      <c r="G36" s="7" t="n">
        <v>2</v>
      </c>
      <c r="H36" s="13" t="n">
        <f aca="false">IF($B36="Critical",Org_Info!$B$18,IF($B36="High",Org_Info!$B$19,IF($B36="Medium",Org_Info!$B$20,IF($B36="Low",Org_Info!$B$21,0))))</f>
        <v>0.25</v>
      </c>
      <c r="I36" s="14" t="str">
        <f aca="false">IF(AND($C36="Yes",$D36&gt;=Org_Info!$B$10),"Yes","No")</f>
        <v>Yes</v>
      </c>
      <c r="J36" s="15" t="n">
        <f aca="false">IF($C36="Yes",$F36*$G36+(1-$D36)*$E36,0)</f>
        <v>16.5</v>
      </c>
      <c r="K36" s="15" t="n">
        <f aca="false">IF($C36="Yes",$E36+$F36*$G36,0)</f>
        <v>36</v>
      </c>
      <c r="L36" s="15" t="n">
        <f aca="false">IF($C36="Yes",$H36*IF($I36="Yes",$J36,$K36),0)</f>
        <v>4.125</v>
      </c>
    </row>
    <row r="37" customFormat="false" ht="15" hidden="false" customHeight="false" outlineLevel="0" collapsed="false">
      <c r="A37" s="7" t="s">
        <v>94</v>
      </c>
      <c r="B37" s="7" t="s">
        <v>90</v>
      </c>
      <c r="C37" s="7" t="s">
        <v>59</v>
      </c>
      <c r="D37" s="9" t="n">
        <v>0.65</v>
      </c>
      <c r="E37" s="8" t="n">
        <v>45</v>
      </c>
      <c r="F37" s="8" t="n">
        <v>4</v>
      </c>
      <c r="G37" s="7" t="n">
        <v>3</v>
      </c>
      <c r="H37" s="13" t="n">
        <f aca="false">IF($B37="Critical",Org_Info!$B$18,IF($B37="High",Org_Info!$B$19,IF($B37="Medium",Org_Info!$B$20,IF($B37="Low",Org_Info!$B$21,0))))</f>
        <v>0.25</v>
      </c>
      <c r="I37" s="14" t="str">
        <f aca="false">IF(AND($C37="Yes",$D37&gt;=Org_Info!$B$10),"Yes","No")</f>
        <v>Yes</v>
      </c>
      <c r="J37" s="15" t="n">
        <f aca="false">IF($C37="Yes",$F37*$G37+(1-$D37)*$E37,0)</f>
        <v>27.75</v>
      </c>
      <c r="K37" s="15" t="n">
        <f aca="false">IF($C37="Yes",$E37+$F37*$G37,0)</f>
        <v>57</v>
      </c>
      <c r="L37" s="15" t="n">
        <f aca="false">IF($C37="Yes",$H37*IF($I37="Yes",$J37,$K37),0)</f>
        <v>6.9375</v>
      </c>
    </row>
    <row r="38" customFormat="false" ht="15" hidden="false" customHeight="false" outlineLevel="0" collapsed="false">
      <c r="A38" s="7" t="s">
        <v>95</v>
      </c>
      <c r="B38" s="7" t="s">
        <v>90</v>
      </c>
      <c r="C38" s="7" t="s">
        <v>59</v>
      </c>
      <c r="D38" s="9" t="n">
        <v>0.65</v>
      </c>
      <c r="E38" s="8" t="n">
        <v>20</v>
      </c>
      <c r="F38" s="8" t="n">
        <v>2</v>
      </c>
      <c r="G38" s="7" t="n">
        <v>2</v>
      </c>
      <c r="H38" s="13" t="n">
        <f aca="false">IF($B38="Critical",Org_Info!$B$18,IF($B38="High",Org_Info!$B$19,IF($B38="Medium",Org_Info!$B$20,IF($B38="Low",Org_Info!$B$21,0))))</f>
        <v>0.25</v>
      </c>
      <c r="I38" s="14" t="str">
        <f aca="false">IF(AND($C38="Yes",$D38&gt;=Org_Info!$B$10),"Yes","No")</f>
        <v>Yes</v>
      </c>
      <c r="J38" s="15" t="n">
        <f aca="false">IF($C38="Yes",$F38*$G38+(1-$D38)*$E38,0)</f>
        <v>11</v>
      </c>
      <c r="K38" s="15" t="n">
        <f aca="false">IF($C38="Yes",$E38+$F38*$G38,0)</f>
        <v>24</v>
      </c>
      <c r="L38" s="15" t="n">
        <f aca="false">IF($C38="Yes",$H38*IF($I38="Yes",$J38,$K38),0)</f>
        <v>2.75</v>
      </c>
    </row>
    <row r="39" customFormat="false" ht="15" hidden="false" customHeight="false" outlineLevel="0" collapsed="false">
      <c r="A39" s="7" t="s">
        <v>96</v>
      </c>
      <c r="B39" s="7" t="s">
        <v>90</v>
      </c>
      <c r="C39" s="7" t="s">
        <v>59</v>
      </c>
      <c r="D39" s="9" t="n">
        <v>0.65</v>
      </c>
      <c r="E39" s="8" t="n">
        <v>35</v>
      </c>
      <c r="F39" s="8" t="n">
        <v>3</v>
      </c>
      <c r="G39" s="7" t="n">
        <v>3</v>
      </c>
      <c r="H39" s="13" t="n">
        <f aca="false">IF($B39="Critical",Org_Info!$B$18,IF($B39="High",Org_Info!$B$19,IF($B39="Medium",Org_Info!$B$20,IF($B39="Low",Org_Info!$B$21,0))))</f>
        <v>0.25</v>
      </c>
      <c r="I39" s="14" t="str">
        <f aca="false">IF(AND($C39="Yes",$D39&gt;=Org_Info!$B$10),"Yes","No")</f>
        <v>Yes</v>
      </c>
      <c r="J39" s="15" t="n">
        <f aca="false">IF($C39="Yes",$F39*$G39+(1-$D39)*$E39,0)</f>
        <v>21.25</v>
      </c>
      <c r="K39" s="15" t="n">
        <f aca="false">IF($C39="Yes",$E39+$F39*$G39,0)</f>
        <v>44</v>
      </c>
      <c r="L39" s="15" t="n">
        <f aca="false">IF($C39="Yes",$H39*IF($I39="Yes",$J39,$K39),0)</f>
        <v>5.3125</v>
      </c>
    </row>
    <row r="40" customFormat="false" ht="15" hidden="false" customHeight="false" outlineLevel="0" collapsed="false">
      <c r="A40" s="7" t="s">
        <v>97</v>
      </c>
      <c r="B40" s="7" t="s">
        <v>90</v>
      </c>
      <c r="C40" s="7" t="s">
        <v>59</v>
      </c>
      <c r="D40" s="9" t="n">
        <v>0.65</v>
      </c>
      <c r="E40" s="8" t="n">
        <v>22</v>
      </c>
      <c r="F40" s="8" t="n">
        <v>2</v>
      </c>
      <c r="G40" s="7" t="n">
        <v>3</v>
      </c>
      <c r="H40" s="13" t="n">
        <f aca="false">IF($B40="Critical",Org_Info!$B$18,IF($B40="High",Org_Info!$B$19,IF($B40="Medium",Org_Info!$B$20,IF($B40="Low",Org_Info!$B$21,0))))</f>
        <v>0.25</v>
      </c>
      <c r="I40" s="14" t="str">
        <f aca="false">IF(AND($C40="Yes",$D40&gt;=Org_Info!$B$10),"Yes","No")</f>
        <v>Yes</v>
      </c>
      <c r="J40" s="15" t="n">
        <f aca="false">IF($C40="Yes",$F40*$G40+(1-$D40)*$E40,0)</f>
        <v>13.7</v>
      </c>
      <c r="K40" s="15" t="n">
        <f aca="false">IF($C40="Yes",$E40+$F40*$G40,0)</f>
        <v>28</v>
      </c>
      <c r="L40" s="15" t="n">
        <f aca="false">IF($C40="Yes",$H40*IF($I40="Yes",$J40,$K40),0)</f>
        <v>3.425</v>
      </c>
    </row>
    <row r="41" customFormat="false" ht="15" hidden="false" customHeight="false" outlineLevel="0" collapsed="false">
      <c r="A41" s="7" t="s">
        <v>98</v>
      </c>
      <c r="B41" s="7" t="s">
        <v>90</v>
      </c>
      <c r="C41" s="7" t="s">
        <v>59</v>
      </c>
      <c r="D41" s="9" t="n">
        <v>0.65</v>
      </c>
      <c r="E41" s="8" t="n">
        <v>28</v>
      </c>
      <c r="F41" s="8" t="n">
        <v>3</v>
      </c>
      <c r="G41" s="7" t="n">
        <v>2</v>
      </c>
      <c r="H41" s="13" t="n">
        <f aca="false">IF($B41="Critical",Org_Info!$B$18,IF($B41="High",Org_Info!$B$19,IF($B41="Medium",Org_Info!$B$20,IF($B41="Low",Org_Info!$B$21,0))))</f>
        <v>0.25</v>
      </c>
      <c r="I41" s="14" t="str">
        <f aca="false">IF(AND($C41="Yes",$D41&gt;=Org_Info!$B$10),"Yes","No")</f>
        <v>Yes</v>
      </c>
      <c r="J41" s="15" t="n">
        <f aca="false">IF($C41="Yes",$F41*$G41+(1-$D41)*$E41,0)</f>
        <v>15.8</v>
      </c>
      <c r="K41" s="15" t="n">
        <f aca="false">IF($C41="Yes",$E41+$F41*$G41,0)</f>
        <v>34</v>
      </c>
      <c r="L41" s="15" t="n">
        <f aca="false">IF($C41="Yes",$H41*IF($I41="Yes",$J41,$K41),0)</f>
        <v>3.95</v>
      </c>
    </row>
    <row r="42" customFormat="false" ht="15" hidden="false" customHeight="false" outlineLevel="0" collapsed="false">
      <c r="A42" s="7" t="s">
        <v>99</v>
      </c>
      <c r="B42" s="7" t="s">
        <v>90</v>
      </c>
      <c r="C42" s="7" t="s">
        <v>59</v>
      </c>
      <c r="D42" s="9" t="n">
        <v>0.65</v>
      </c>
      <c r="E42" s="8" t="n">
        <v>55</v>
      </c>
      <c r="F42" s="8" t="n">
        <v>2</v>
      </c>
      <c r="G42" s="7" t="n">
        <v>4</v>
      </c>
      <c r="H42" s="13" t="n">
        <f aca="false">IF($B42="Critical",Org_Info!$B$18,IF($B42="High",Org_Info!$B$19,IF($B42="Medium",Org_Info!$B$20,IF($B42="Low",Org_Info!$B$21,0))))</f>
        <v>0.25</v>
      </c>
      <c r="I42" s="14" t="str">
        <f aca="false">IF(AND($C42="Yes",$D42&gt;=Org_Info!$B$10),"Yes","No")</f>
        <v>Yes</v>
      </c>
      <c r="J42" s="15" t="n">
        <f aca="false">IF($C42="Yes",$F42*$G42+(1-$D42)*$E42,0)</f>
        <v>27.25</v>
      </c>
      <c r="K42" s="15" t="n">
        <f aca="false">IF($C42="Yes",$E42+$F42*$G42,0)</f>
        <v>63</v>
      </c>
      <c r="L42" s="15" t="n">
        <f aca="false">IF($C42="Yes",$H42*IF($I42="Yes",$J42,$K42),0)</f>
        <v>6.8125</v>
      </c>
    </row>
    <row r="43" customFormat="false" ht="15" hidden="false" customHeight="false" outlineLevel="0" collapsed="false">
      <c r="A43" s="7" t="s">
        <v>100</v>
      </c>
      <c r="B43" s="7" t="s">
        <v>90</v>
      </c>
      <c r="C43" s="7" t="s">
        <v>59</v>
      </c>
      <c r="D43" s="9" t="n">
        <v>0.65</v>
      </c>
      <c r="E43" s="8" t="n">
        <v>18</v>
      </c>
      <c r="F43" s="8" t="n">
        <v>1</v>
      </c>
      <c r="G43" s="7" t="n">
        <v>2</v>
      </c>
      <c r="H43" s="13" t="n">
        <f aca="false">IF($B43="Critical",Org_Info!$B$18,IF($B43="High",Org_Info!$B$19,IF($B43="Medium",Org_Info!$B$20,IF($B43="Low",Org_Info!$B$21,0))))</f>
        <v>0.25</v>
      </c>
      <c r="I43" s="14" t="str">
        <f aca="false">IF(AND($C43="Yes",$D43&gt;=Org_Info!$B$10),"Yes","No")</f>
        <v>Yes</v>
      </c>
      <c r="J43" s="15" t="n">
        <f aca="false">IF($C43="Yes",$F43*$G43+(1-$D43)*$E43,0)</f>
        <v>8.3</v>
      </c>
      <c r="K43" s="15" t="n">
        <f aca="false">IF($C43="Yes",$E43+$F43*$G43,0)</f>
        <v>20</v>
      </c>
      <c r="L43" s="15" t="n">
        <f aca="false">IF($C43="Yes",$H43*IF($I43="Yes",$J43,$K43),0)</f>
        <v>2.075</v>
      </c>
    </row>
    <row r="44" customFormat="false" ht="15" hidden="false" customHeight="false" outlineLevel="0" collapsed="false">
      <c r="A44" s="7" t="s">
        <v>101</v>
      </c>
      <c r="B44" s="7" t="s">
        <v>90</v>
      </c>
      <c r="C44" s="7" t="s">
        <v>59</v>
      </c>
      <c r="D44" s="9" t="n">
        <v>0.65</v>
      </c>
      <c r="E44" s="8" t="n">
        <v>15</v>
      </c>
      <c r="F44" s="8" t="n">
        <v>1</v>
      </c>
      <c r="G44" s="7" t="n">
        <v>3</v>
      </c>
      <c r="H44" s="13" t="n">
        <f aca="false">IF($B44="Critical",Org_Info!$B$18,IF($B44="High",Org_Info!$B$19,IF($B44="Medium",Org_Info!$B$20,IF($B44="Low",Org_Info!$B$21,0))))</f>
        <v>0.25</v>
      </c>
      <c r="I44" s="14" t="str">
        <f aca="false">IF(AND($C44="Yes",$D44&gt;=Org_Info!$B$10),"Yes","No")</f>
        <v>Yes</v>
      </c>
      <c r="J44" s="15" t="n">
        <f aca="false">IF($C44="Yes",$F44*$G44+(1-$D44)*$E44,0)</f>
        <v>8.25</v>
      </c>
      <c r="K44" s="15" t="n">
        <f aca="false">IF($C44="Yes",$E44+$F44*$G44,0)</f>
        <v>18</v>
      </c>
      <c r="L44" s="15" t="n">
        <f aca="false">IF($C44="Yes",$H44*IF($I44="Yes",$J44,$K44),0)</f>
        <v>2.0625</v>
      </c>
    </row>
    <row r="45" customFormat="false" ht="15" hidden="false" customHeight="false" outlineLevel="0" collapsed="false">
      <c r="A45" s="7" t="s">
        <v>102</v>
      </c>
      <c r="B45" s="7" t="s">
        <v>90</v>
      </c>
      <c r="C45" s="7" t="s">
        <v>59</v>
      </c>
      <c r="D45" s="9" t="n">
        <v>0.65</v>
      </c>
      <c r="E45" s="8" t="n">
        <v>40</v>
      </c>
      <c r="F45" s="8" t="n">
        <v>3</v>
      </c>
      <c r="G45" s="7" t="n">
        <v>4</v>
      </c>
      <c r="H45" s="13" t="n">
        <f aca="false">IF($B45="Critical",Org_Info!$B$18,IF($B45="High",Org_Info!$B$19,IF($B45="Medium",Org_Info!$B$20,IF($B45="Low",Org_Info!$B$21,0))))</f>
        <v>0.25</v>
      </c>
      <c r="I45" s="14" t="str">
        <f aca="false">IF(AND($C45="Yes",$D45&gt;=Org_Info!$B$10),"Yes","No")</f>
        <v>Yes</v>
      </c>
      <c r="J45" s="15" t="n">
        <f aca="false">IF($C45="Yes",$F45*$G45+(1-$D45)*$E45,0)</f>
        <v>26</v>
      </c>
      <c r="K45" s="15" t="n">
        <f aca="false">IF($C45="Yes",$E45+$F45*$G45,0)</f>
        <v>52</v>
      </c>
      <c r="L45" s="15" t="n">
        <f aca="false">IF($C45="Yes",$H45*IF($I45="Yes",$J45,$K45),0)</f>
        <v>6.5</v>
      </c>
    </row>
    <row r="46" customFormat="false" ht="15" hidden="false" customHeight="false" outlineLevel="0" collapsed="false">
      <c r="A46" s="7" t="s">
        <v>103</v>
      </c>
      <c r="B46" s="7" t="s">
        <v>90</v>
      </c>
      <c r="C46" s="7" t="s">
        <v>59</v>
      </c>
      <c r="D46" s="9" t="n">
        <v>0.65</v>
      </c>
      <c r="E46" s="8" t="n">
        <v>24</v>
      </c>
      <c r="F46" s="8" t="n">
        <v>2</v>
      </c>
      <c r="G46" s="7" t="n">
        <v>3</v>
      </c>
      <c r="H46" s="13" t="n">
        <f aca="false">IF($B46="Critical",Org_Info!$B$18,IF($B46="High",Org_Info!$B$19,IF($B46="Medium",Org_Info!$B$20,IF($B46="Low",Org_Info!$B$21,0))))</f>
        <v>0.25</v>
      </c>
      <c r="I46" s="14" t="str">
        <f aca="false">IF(AND($C46="Yes",$D46&gt;=Org_Info!$B$10),"Yes","No")</f>
        <v>Yes</v>
      </c>
      <c r="J46" s="15" t="n">
        <f aca="false">IF($C46="Yes",$F46*$G46+(1-$D46)*$E46,0)</f>
        <v>14.4</v>
      </c>
      <c r="K46" s="15" t="n">
        <f aca="false">IF($C46="Yes",$E46+$F46*$G46,0)</f>
        <v>30</v>
      </c>
      <c r="L46" s="15" t="n">
        <f aca="false">IF($C46="Yes",$H46*IF($I46="Yes",$J46,$K46),0)</f>
        <v>3.6</v>
      </c>
    </row>
    <row r="47" customFormat="false" ht="15" hidden="false" customHeight="false" outlineLevel="0" collapsed="false">
      <c r="A47" s="7" t="s">
        <v>104</v>
      </c>
      <c r="B47" s="7" t="s">
        <v>90</v>
      </c>
      <c r="C47" s="7" t="s">
        <v>59</v>
      </c>
      <c r="D47" s="9" t="n">
        <v>0.65</v>
      </c>
      <c r="E47" s="8" t="n">
        <v>30</v>
      </c>
      <c r="F47" s="8" t="n">
        <v>3</v>
      </c>
      <c r="G47" s="7" t="n">
        <v>3</v>
      </c>
      <c r="H47" s="13" t="n">
        <f aca="false">IF($B47="Critical",Org_Info!$B$18,IF($B47="High",Org_Info!$B$19,IF($B47="Medium",Org_Info!$B$20,IF($B47="Low",Org_Info!$B$21,0))))</f>
        <v>0.25</v>
      </c>
      <c r="I47" s="14" t="str">
        <f aca="false">IF(AND($C47="Yes",$D47&gt;=Org_Info!$B$10),"Yes","No")</f>
        <v>Yes</v>
      </c>
      <c r="J47" s="15" t="n">
        <f aca="false">IF($C47="Yes",$F47*$G47+(1-$D47)*$E47,0)</f>
        <v>19.5</v>
      </c>
      <c r="K47" s="15" t="n">
        <f aca="false">IF($C47="Yes",$E47+$F47*$G47,0)</f>
        <v>39</v>
      </c>
      <c r="L47" s="15" t="n">
        <f aca="false">IF($C47="Yes",$H47*IF($I47="Yes",$J47,$K47),0)</f>
        <v>4.875</v>
      </c>
    </row>
    <row r="48" customFormat="false" ht="15" hidden="false" customHeight="false" outlineLevel="0" collapsed="false">
      <c r="A48" s="7" t="s">
        <v>105</v>
      </c>
      <c r="B48" s="7" t="s">
        <v>90</v>
      </c>
      <c r="C48" s="7" t="s">
        <v>59</v>
      </c>
      <c r="D48" s="9" t="n">
        <v>0.65</v>
      </c>
      <c r="E48" s="8" t="n">
        <v>12</v>
      </c>
      <c r="F48" s="8" t="n">
        <v>1</v>
      </c>
      <c r="G48" s="7" t="n">
        <v>2</v>
      </c>
      <c r="H48" s="13" t="n">
        <f aca="false">IF($B48="Critical",Org_Info!$B$18,IF($B48="High",Org_Info!$B$19,IF($B48="Medium",Org_Info!$B$20,IF($B48="Low",Org_Info!$B$21,0))))</f>
        <v>0.25</v>
      </c>
      <c r="I48" s="14" t="str">
        <f aca="false">IF(AND($C48="Yes",$D48&gt;=Org_Info!$B$10),"Yes","No")</f>
        <v>Yes</v>
      </c>
      <c r="J48" s="15" t="n">
        <f aca="false">IF($C48="Yes",$F48*$G48+(1-$D48)*$E48,0)</f>
        <v>6.2</v>
      </c>
      <c r="K48" s="15" t="n">
        <f aca="false">IF($C48="Yes",$E48+$F48*$G48,0)</f>
        <v>14</v>
      </c>
      <c r="L48" s="15" t="n">
        <f aca="false">IF($C48="Yes",$H48*IF($I48="Yes",$J48,$K48),0)</f>
        <v>1.55</v>
      </c>
    </row>
    <row r="49" customFormat="false" ht="15" hidden="false" customHeight="false" outlineLevel="0" collapsed="false">
      <c r="A49" s="7" t="s">
        <v>106</v>
      </c>
      <c r="B49" s="7" t="s">
        <v>90</v>
      </c>
      <c r="C49" s="7" t="s">
        <v>59</v>
      </c>
      <c r="D49" s="9" t="n">
        <v>0.65</v>
      </c>
      <c r="E49" s="8" t="n">
        <v>16</v>
      </c>
      <c r="F49" s="8" t="n">
        <v>1</v>
      </c>
      <c r="G49" s="7" t="n">
        <v>2</v>
      </c>
      <c r="H49" s="13" t="n">
        <f aca="false">IF($B49="Critical",Org_Info!$B$18,IF($B49="High",Org_Info!$B$19,IF($B49="Medium",Org_Info!$B$20,IF($B49="Low",Org_Info!$B$21,0))))</f>
        <v>0.25</v>
      </c>
      <c r="I49" s="14" t="str">
        <f aca="false">IF(AND($C49="Yes",$D49&gt;=Org_Info!$B$10),"Yes","No")</f>
        <v>Yes</v>
      </c>
      <c r="J49" s="15" t="n">
        <f aca="false">IF($C49="Yes",$F49*$G49+(1-$D49)*$E49,0)</f>
        <v>7.6</v>
      </c>
      <c r="K49" s="15" t="n">
        <f aca="false">IF($C49="Yes",$E49+$F49*$G49,0)</f>
        <v>18</v>
      </c>
      <c r="L49" s="15" t="n">
        <f aca="false">IF($C49="Yes",$H49*IF($I49="Yes",$J49,$K49),0)</f>
        <v>1.9</v>
      </c>
    </row>
    <row r="50" customFormat="false" ht="15" hidden="false" customHeight="false" outlineLevel="0" collapsed="false">
      <c r="A50" s="7" t="s">
        <v>107</v>
      </c>
      <c r="B50" s="7" t="s">
        <v>90</v>
      </c>
      <c r="C50" s="7" t="s">
        <v>59</v>
      </c>
      <c r="D50" s="9" t="n">
        <v>0.65</v>
      </c>
      <c r="E50" s="8" t="n">
        <v>20</v>
      </c>
      <c r="F50" s="8" t="n">
        <v>2</v>
      </c>
      <c r="G50" s="7" t="n">
        <v>3</v>
      </c>
      <c r="H50" s="13" t="n">
        <f aca="false">IF($B50="Critical",Org_Info!$B$18,IF($B50="High",Org_Info!$B$19,IF($B50="Medium",Org_Info!$B$20,IF($B50="Low",Org_Info!$B$21,0))))</f>
        <v>0.25</v>
      </c>
      <c r="I50" s="14" t="str">
        <f aca="false">IF(AND($C50="Yes",$D50&gt;=Org_Info!$B$10),"Yes","No")</f>
        <v>Yes</v>
      </c>
      <c r="J50" s="15" t="n">
        <f aca="false">IF($C50="Yes",$F50*$G50+(1-$D50)*$E50,0)</f>
        <v>13</v>
      </c>
      <c r="K50" s="15" t="n">
        <f aca="false">IF($C50="Yes",$E50+$F50*$G50,0)</f>
        <v>26</v>
      </c>
      <c r="L50" s="15" t="n">
        <f aca="false">IF($C50="Yes",$H50*IF($I50="Yes",$J50,$K50),0)</f>
        <v>3.25</v>
      </c>
    </row>
    <row r="51" customFormat="false" ht="15" hidden="false" customHeight="false" outlineLevel="0" collapsed="false">
      <c r="A51" s="7" t="s">
        <v>108</v>
      </c>
      <c r="B51" s="7" t="s">
        <v>90</v>
      </c>
      <c r="C51" s="7" t="s">
        <v>59</v>
      </c>
      <c r="D51" s="9" t="n">
        <v>0.65</v>
      </c>
      <c r="E51" s="8" t="n">
        <v>14</v>
      </c>
      <c r="F51" s="8" t="n">
        <v>1</v>
      </c>
      <c r="G51" s="7" t="n">
        <v>2</v>
      </c>
      <c r="H51" s="13" t="n">
        <f aca="false">IF($B51="Critical",Org_Info!$B$18,IF($B51="High",Org_Info!$B$19,IF($B51="Medium",Org_Info!$B$20,IF($B51="Low",Org_Info!$B$21,0))))</f>
        <v>0.25</v>
      </c>
      <c r="I51" s="14" t="str">
        <f aca="false">IF(AND($C51="Yes",$D51&gt;=Org_Info!$B$10),"Yes","No")</f>
        <v>Yes</v>
      </c>
      <c r="J51" s="15" t="n">
        <f aca="false">IF($C51="Yes",$F51*$G51+(1-$D51)*$E51,0)</f>
        <v>6.9</v>
      </c>
      <c r="K51" s="15" t="n">
        <f aca="false">IF($C51="Yes",$E51+$F51*$G51,0)</f>
        <v>16</v>
      </c>
      <c r="L51" s="15" t="n">
        <f aca="false">IF($C51="Yes",$H51*IF($I51="Yes",$J51,$K51),0)</f>
        <v>1.725</v>
      </c>
    </row>
    <row r="52" customFormat="false" ht="15" hidden="false" customHeight="false" outlineLevel="0" collapsed="false">
      <c r="A52" s="7" t="s">
        <v>109</v>
      </c>
      <c r="B52" s="7" t="s">
        <v>90</v>
      </c>
      <c r="C52" s="7" t="s">
        <v>59</v>
      </c>
      <c r="D52" s="9" t="n">
        <v>0.65</v>
      </c>
      <c r="E52" s="8" t="n">
        <v>26</v>
      </c>
      <c r="F52" s="8" t="n">
        <v>2</v>
      </c>
      <c r="G52" s="7" t="n">
        <v>3</v>
      </c>
      <c r="H52" s="13" t="n">
        <f aca="false">IF($B52="Critical",Org_Info!$B$18,IF($B52="High",Org_Info!$B$19,IF($B52="Medium",Org_Info!$B$20,IF($B52="Low",Org_Info!$B$21,0))))</f>
        <v>0.25</v>
      </c>
      <c r="I52" s="14" t="str">
        <f aca="false">IF(AND($C52="Yes",$D52&gt;=Org_Info!$B$10),"Yes","No")</f>
        <v>Yes</v>
      </c>
      <c r="J52" s="15" t="n">
        <f aca="false">IF($C52="Yes",$F52*$G52+(1-$D52)*$E52,0)</f>
        <v>15.1</v>
      </c>
      <c r="K52" s="15" t="n">
        <f aca="false">IF($C52="Yes",$E52+$F52*$G52,0)</f>
        <v>32</v>
      </c>
      <c r="L52" s="15" t="n">
        <f aca="false">IF($C52="Yes",$H52*IF($I52="Yes",$J52,$K52),0)</f>
        <v>3.775</v>
      </c>
    </row>
    <row r="53" customFormat="false" ht="15" hidden="false" customHeight="false" outlineLevel="0" collapsed="false">
      <c r="A53" s="7" t="s">
        <v>110</v>
      </c>
      <c r="B53" s="7" t="s">
        <v>90</v>
      </c>
      <c r="C53" s="7" t="s">
        <v>59</v>
      </c>
      <c r="D53" s="9" t="n">
        <v>0.65</v>
      </c>
      <c r="E53" s="8" t="n">
        <v>18</v>
      </c>
      <c r="F53" s="8" t="n">
        <v>1</v>
      </c>
      <c r="G53" s="7" t="n">
        <v>3</v>
      </c>
      <c r="H53" s="13" t="n">
        <f aca="false">IF($B53="Critical",Org_Info!$B$18,IF($B53="High",Org_Info!$B$19,IF($B53="Medium",Org_Info!$B$20,IF($B53="Low",Org_Info!$B$21,0))))</f>
        <v>0.25</v>
      </c>
      <c r="I53" s="14" t="str">
        <f aca="false">IF(AND($C53="Yes",$D53&gt;=Org_Info!$B$10),"Yes","No")</f>
        <v>Yes</v>
      </c>
      <c r="J53" s="15" t="n">
        <f aca="false">IF($C53="Yes",$F53*$G53+(1-$D53)*$E53,0)</f>
        <v>9.3</v>
      </c>
      <c r="K53" s="15" t="n">
        <f aca="false">IF($C53="Yes",$E53+$F53*$G53,0)</f>
        <v>21</v>
      </c>
      <c r="L53" s="15" t="n">
        <f aca="false">IF($C53="Yes",$H53*IF($I53="Yes",$J53,$K53),0)</f>
        <v>2.325</v>
      </c>
    </row>
    <row r="54" customFormat="false" ht="15" hidden="false" customHeight="false" outlineLevel="0" collapsed="false">
      <c r="A54" s="7" t="s">
        <v>111</v>
      </c>
      <c r="B54" s="7" t="s">
        <v>90</v>
      </c>
      <c r="C54" s="7" t="s">
        <v>59</v>
      </c>
      <c r="D54" s="9" t="n">
        <v>0.65</v>
      </c>
      <c r="E54" s="8" t="n">
        <v>22</v>
      </c>
      <c r="F54" s="8" t="n">
        <v>2</v>
      </c>
      <c r="G54" s="7" t="n">
        <v>3</v>
      </c>
      <c r="H54" s="13" t="n">
        <f aca="false">IF($B54="Critical",Org_Info!$B$18,IF($B54="High",Org_Info!$B$19,IF($B54="Medium",Org_Info!$B$20,IF($B54="Low",Org_Info!$B$21,0))))</f>
        <v>0.25</v>
      </c>
      <c r="I54" s="14" t="str">
        <f aca="false">IF(AND($C54="Yes",$D54&gt;=Org_Info!$B$10),"Yes","No")</f>
        <v>Yes</v>
      </c>
      <c r="J54" s="15" t="n">
        <f aca="false">IF($C54="Yes",$F54*$G54+(1-$D54)*$E54,0)</f>
        <v>13.7</v>
      </c>
      <c r="K54" s="15" t="n">
        <f aca="false">IF($C54="Yes",$E54+$F54*$G54,0)</f>
        <v>28</v>
      </c>
      <c r="L54" s="15" t="n">
        <f aca="false">IF($C54="Yes",$H54*IF($I54="Yes",$J54,$K54),0)</f>
        <v>3.425</v>
      </c>
    </row>
    <row r="55" customFormat="false" ht="15" hidden="false" customHeight="false" outlineLevel="0" collapsed="false">
      <c r="A55" s="7" t="s">
        <v>112</v>
      </c>
      <c r="B55" s="7" t="s">
        <v>90</v>
      </c>
      <c r="C55" s="7" t="s">
        <v>59</v>
      </c>
      <c r="D55" s="9" t="n">
        <v>0.65</v>
      </c>
      <c r="E55" s="8" t="n">
        <v>30</v>
      </c>
      <c r="F55" s="8" t="n">
        <v>3</v>
      </c>
      <c r="G55" s="7" t="n">
        <v>3</v>
      </c>
      <c r="H55" s="13" t="n">
        <f aca="false">IF($B55="Critical",Org_Info!$B$18,IF($B55="High",Org_Info!$B$19,IF($B55="Medium",Org_Info!$B$20,IF($B55="Low",Org_Info!$B$21,0))))</f>
        <v>0.25</v>
      </c>
      <c r="I55" s="14" t="str">
        <f aca="false">IF(AND($C55="Yes",$D55&gt;=Org_Info!$B$10),"Yes","No")</f>
        <v>Yes</v>
      </c>
      <c r="J55" s="15" t="n">
        <f aca="false">IF($C55="Yes",$F55*$G55+(1-$D55)*$E55,0)</f>
        <v>19.5</v>
      </c>
      <c r="K55" s="15" t="n">
        <f aca="false">IF($C55="Yes",$E55+$F55*$G55,0)</f>
        <v>39</v>
      </c>
      <c r="L55" s="15" t="n">
        <f aca="false">IF($C55="Yes",$H55*IF($I55="Yes",$J55,$K55),0)</f>
        <v>4.875</v>
      </c>
    </row>
    <row r="56" customFormat="false" ht="15" hidden="false" customHeight="false" outlineLevel="0" collapsed="false">
      <c r="A56" s="7" t="s">
        <v>113</v>
      </c>
      <c r="B56" s="7" t="s">
        <v>90</v>
      </c>
      <c r="C56" s="7" t="s">
        <v>59</v>
      </c>
      <c r="D56" s="9" t="n">
        <v>0.65</v>
      </c>
      <c r="E56" s="8" t="n">
        <v>35</v>
      </c>
      <c r="F56" s="8" t="n">
        <v>3</v>
      </c>
      <c r="G56" s="7" t="n">
        <v>2</v>
      </c>
      <c r="H56" s="13" t="n">
        <f aca="false">IF($B56="Critical",Org_Info!$B$18,IF($B56="High",Org_Info!$B$19,IF($B56="Medium",Org_Info!$B$20,IF($B56="Low",Org_Info!$B$21,0))))</f>
        <v>0.25</v>
      </c>
      <c r="I56" s="14" t="str">
        <f aca="false">IF(AND($C56="Yes",$D56&gt;=Org_Info!$B$10),"Yes","No")</f>
        <v>Yes</v>
      </c>
      <c r="J56" s="15" t="n">
        <f aca="false">IF($C56="Yes",$F56*$G56+(1-$D56)*$E56,0)</f>
        <v>18.25</v>
      </c>
      <c r="K56" s="15" t="n">
        <f aca="false">IF($C56="Yes",$E56+$F56*$G56,0)</f>
        <v>41</v>
      </c>
      <c r="L56" s="15" t="n">
        <f aca="false">IF($C56="Yes",$H56*IF($I56="Yes",$J56,$K56),0)</f>
        <v>4.5625</v>
      </c>
    </row>
  </sheetData>
  <dataValidations count="2">
    <dataValidation allowBlank="true" errorStyle="stop" operator="between" showDropDown="false" showErrorMessage="false" showInputMessage="false" sqref="B5:B56" type="list">
      <formula1>"Critical,High,Medium,Low"</formula1>
      <formula2>0</formula2>
    </dataValidation>
    <dataValidation allowBlank="true" errorStyle="stop" operator="between" showDropDown="false" showErrorMessage="false" showInputMessage="false" sqref="C5:C5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true" outlineLevel="0" collapsed="false">
      <c r="A2" s="16" t="s">
        <v>115</v>
      </c>
      <c r="B2" s="16"/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16"/>
    </row>
    <row r="5" customFormat="false" ht="15" hidden="false" customHeight="false" outlineLevel="0" collapsed="false">
      <c r="A5" s="17" t="s">
        <v>116</v>
      </c>
    </row>
    <row r="6" customFormat="false" ht="15" hidden="false" customHeight="false" outlineLevel="0" collapsed="false">
      <c r="A6" s="6" t="s">
        <v>117</v>
      </c>
      <c r="C6" s="18" t="n">
        <f aca="false">COUNTIFS(Assets!$C$5:$C$56,"Yes",Assets!$B$5:$B$56,"Critical")</f>
        <v>6</v>
      </c>
    </row>
    <row r="7" customFormat="false" ht="15" hidden="false" customHeight="false" outlineLevel="0" collapsed="false">
      <c r="A7" s="6" t="s">
        <v>118</v>
      </c>
      <c r="C7" s="18" t="n">
        <f aca="false">COUNTIFS(Assets!$C$5:$C$56,"Yes",Assets!$B$5:$B$56,"High")</f>
        <v>10</v>
      </c>
    </row>
    <row r="8" customFormat="false" ht="15" hidden="false" customHeight="false" outlineLevel="0" collapsed="false">
      <c r="A8" s="6" t="s">
        <v>119</v>
      </c>
      <c r="C8" s="18" t="n">
        <f aca="false">COUNTIFS(Assets!$C$5:$C$56,"Yes",Assets!$B$5:$B$56,"Medium")</f>
        <v>12</v>
      </c>
    </row>
    <row r="9" customFormat="false" ht="15" hidden="false" customHeight="false" outlineLevel="0" collapsed="false">
      <c r="A9" s="6" t="s">
        <v>120</v>
      </c>
      <c r="C9" s="18" t="n">
        <f aca="false">COUNTIFS(Assets!$C$5:$C$56,"Yes",Assets!$B$5:$B$56,"Low")</f>
        <v>24</v>
      </c>
    </row>
    <row r="10" customFormat="false" ht="15" hidden="false" customHeight="false" outlineLevel="0" collapsed="false">
      <c r="A10" s="4" t="s">
        <v>121</v>
      </c>
      <c r="C10" s="19" t="n">
        <f aca="false">SUMIFS(Assets!$L$5:$L$56,Assets!$I$5:$I$56,"No",Assets!$C$5:$C$56,"Yes")</f>
        <v>4520</v>
      </c>
      <c r="E10" s="10" t="s">
        <v>122</v>
      </c>
    </row>
    <row r="12" customFormat="false" ht="15" hidden="false" customHeight="false" outlineLevel="0" collapsed="false">
      <c r="A12" s="17" t="s">
        <v>123</v>
      </c>
    </row>
    <row r="13" customFormat="false" ht="15" hidden="false" customHeight="false" outlineLevel="0" collapsed="false">
      <c r="A13" s="6" t="s">
        <v>124</v>
      </c>
      <c r="C13" s="18" t="n">
        <f aca="false">SUM(Assets!$L$5:$L$56)</f>
        <v>13129</v>
      </c>
    </row>
    <row r="14" customFormat="false" ht="15" hidden="false" customHeight="false" outlineLevel="0" collapsed="false">
      <c r="A14" s="6" t="s">
        <v>125</v>
      </c>
      <c r="C14" s="18" t="n">
        <f aca="false">Org_Info!$B$7+(1-Org_Info!$B$11)*(SUM(Assets!$L$5:$L$56))+Org_Info!$B$12*Org_Info!$B$13+Org_Info!$B$14*Org_Info!$B$16</f>
        <v>15132.65</v>
      </c>
    </row>
    <row r="15" customFormat="false" ht="15" hidden="false" customHeight="false" outlineLevel="0" collapsed="false">
      <c r="A15" s="6" t="s">
        <v>126</v>
      </c>
      <c r="C15" s="18" t="n">
        <f aca="false">$C$13-$C$14</f>
        <v>-2003.65</v>
      </c>
      <c r="E15" s="10" t="s">
        <v>127</v>
      </c>
    </row>
    <row r="17" customFormat="false" ht="15" hidden="false" customHeight="false" outlineLevel="0" collapsed="false">
      <c r="A17" s="17" t="s">
        <v>128</v>
      </c>
    </row>
    <row r="18" customFormat="false" ht="15" hidden="false" customHeight="false" outlineLevel="0" collapsed="false">
      <c r="A18" s="20" t="str">
        <f aca="false">IF($C$15&gt;0,"CONSIDER PAYMENT — subject to mandatory legal &amp; sanctions review","DO NOT PAY — self-recovery is cheaper on a criticality-weighted basis")</f>
        <v>DO NOT PAY — self-recovery is cheaper on a criticality-weighted basis</v>
      </c>
      <c r="B18" s="20"/>
      <c r="C18" s="20"/>
      <c r="D18" s="20"/>
      <c r="E18" s="20"/>
      <c r="F18" s="20"/>
      <c r="G18" s="20"/>
      <c r="H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</row>
    <row r="21" customFormat="false" ht="15" hidden="false" customHeight="false" outlineLevel="0" collapsed="false">
      <c r="A21" s="3" t="str">
        <f aca="false">"Decision is driven by a criticality-weighted comparison: each asset's loss counts in "&amp;"proportion to its weight (Critical..Low), so high-value systems dominate and "&amp;"low/medium losses count but do not swamp the result. Weighted stranded exposure = "&amp;TEXT($C$10,"#,##0")&amp;" kEUR."</f>
        <v>Decision is driven by a criticality-weighted comparison: each asset's loss counts in proportion to its weight (Critical..Low), so high-value systems dominate and low/medium losses count but do not swamp the result. Weighted stranded exposure = 4,520 kEUR.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4" customFormat="false" ht="15" hidden="false" customHeight="true" outlineLevel="0" collapsed="false">
      <c r="A24" s="21" t="s">
        <v>129</v>
      </c>
      <c r="B24" s="21"/>
      <c r="C24" s="21"/>
      <c r="D24" s="21"/>
      <c r="E24" s="21"/>
      <c r="F24" s="21"/>
      <c r="G24" s="21"/>
      <c r="H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</row>
  </sheetData>
  <mergeCells count="4">
    <mergeCell ref="A2:H3"/>
    <mergeCell ref="A18:H19"/>
    <mergeCell ref="A21:H22"/>
    <mergeCell ref="A24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2026-09-11T08:39:35Z</dcterms:created>
  <dc:creator>openpyxl</dc:creator>
  <dc:description/>
  <dc:language>en-US</dc:language>
  <cp:lastModifiedBy/>
  <dcterms:modified xsi:type="dcterms:W3CDTF">2026-09-11T08:39:35Z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